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țiuni" sheetId="1" state="visible" r:id="rId1"/>
    <sheet xmlns:r="http://schemas.openxmlformats.org/officeDocument/2006/relationships" name="Statistici" sheetId="2" state="visible" r:id="rId2"/>
    <sheet xmlns:r="http://schemas.openxmlformats.org/officeDocument/2006/relationships" name="Jur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;-0.0000;-"/>
    <numFmt numFmtId="165" formatCode="+0.00&quot;R&quot;;-0.00&quot;R&quot;;0.00&quot;R&quot;"/>
    <numFmt numFmtId="166" formatCode="#,##0.00;(#,##0.00);-"/>
    <numFmt numFmtId="167" formatCode="0.0%"/>
    <numFmt numFmtId="168" formatCode="+0.00&quot;R&quot;;-0.00&quot;R&quot;"/>
    <numFmt numFmtId="169" formatCode="0.00&quot;R&quot;"/>
  </numFmts>
  <fonts count="9">
    <font>
      <name val="Calibri"/>
      <family val="2"/>
      <color theme="1"/>
      <sz val="11"/>
      <scheme val="minor"/>
    </font>
    <font>
      <name val="Arial"/>
      <b val="1"/>
      <color rgb="001A2330"/>
      <sz val="16"/>
    </font>
    <font>
      <name val="Arial"/>
      <b val="1"/>
      <sz val="10"/>
    </font>
    <font>
      <name val="Arial"/>
      <sz val="10"/>
    </font>
    <font>
      <name val="Arial"/>
      <b val="1"/>
      <color rgb="00A86B12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A2330"/>
      <sz val="14"/>
    </font>
    <font>
      <name val="Arial"/>
      <color rgb="005A6573"/>
      <sz val="9"/>
    </font>
  </fonts>
  <fills count="3">
    <fill>
      <patternFill/>
    </fill>
    <fill>
      <patternFill patternType="gray125"/>
    </fill>
    <fill>
      <patternFill patternType="solid">
        <fgColor rgb="002C56C9"/>
      </patternFill>
    </fill>
  </fills>
  <borders count="2">
    <border>
      <left/>
      <right/>
      <top/>
      <bottom/>
      <diagonal/>
    </border>
    <border>
      <bottom style="thin">
        <color rgb="00D8DC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3" fillId="0" borderId="1" pivotButton="0" quotePrefix="0" xfId="0"/>
    <xf numFmtId="1" fontId="2" fillId="0" borderId="1" applyAlignment="1" pivotButton="0" quotePrefix="0" xfId="0">
      <alignment horizontal="right"/>
    </xf>
    <xf numFmtId="0" fontId="8" fillId="0" borderId="1" pivotButton="0" quotePrefix="0" xfId="0"/>
    <xf numFmtId="167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1" pivotButton="0" quotePrefix="0" xfId="0"/>
    <xf numFmtId="164" fontId="6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6" fillId="0" borderId="1" pivotButton="0" quotePrefix="0" xfId="0"/>
  </cellXfs>
  <cellStyles count="1">
    <cellStyle name="Normal" xfId="0" builtinId="0" hidden="0"/>
  </cellStyles>
  <dxfs count="2">
    <dxf>
      <font>
        <b val="1"/>
        <color rgb="0012845A"/>
      </font>
    </dxf>
    <dxf>
      <font>
        <b val="1"/>
        <color rgb="00CF413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'Jurnal'!N1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'Jurnal'!$N$2:$N$501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Tranzacția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 cumulat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Jurnal de trading · Trading de la Zero</t>
        </is>
      </c>
    </row>
    <row r="2">
      <c r="A2" t="inlineStr"/>
    </row>
    <row r="3">
      <c r="A3" s="2" t="inlineStr">
        <is>
          <t>Cum îl folosești</t>
        </is>
      </c>
    </row>
    <row r="4">
      <c r="A4" s="3" t="inlineStr">
        <is>
          <t>1. În foaia „Jurnal” completezi doar coloanele cu text albastru (datele tale).</t>
        </is>
      </c>
    </row>
    <row r="5">
      <c r="A5" s="3" t="inlineStr">
        <is>
          <t>2. Coloanele negre se calculează automat: riscul pe unitate, rezultatul în R, rezultatul cumulat.</t>
        </is>
      </c>
    </row>
    <row r="6">
      <c r="A6" s="3" t="inlineStr">
        <is>
          <t>3. Foaia „Statistici” se actualizează singură: rata de câștig, speranța, profit factor, drawdown, seria de pierderi.</t>
        </is>
      </c>
    </row>
    <row r="7">
      <c r="A7" s="3" t="inlineStr">
        <is>
          <t>4. Primele 3 rânduri din jurnal sunt EXEMPLE. Șterge-le (doar celulele albastre) când începi.</t>
        </is>
      </c>
    </row>
    <row r="8">
      <c r="A8" t="inlineStr"/>
    </row>
    <row r="9">
      <c r="A9" s="2" t="inlineStr">
        <is>
          <t>Explicația coloanelor</t>
        </is>
      </c>
    </row>
    <row r="10">
      <c r="A10" s="3" t="inlineStr">
        <is>
          <t>Direcție: scrie Long sau Short.</t>
        </is>
      </c>
    </row>
    <row r="11">
      <c r="A11" s="3" t="inlineStr">
        <is>
          <t>Intrare / Stop / Ieșire: prețurile exacte.</t>
        </is>
      </c>
    </row>
    <row r="12">
      <c r="A12" s="3" t="inlineStr">
        <is>
          <t>Rezultat (R) = câștigul sau pierderea raportată la risc. 1R = suma riscată. −1R = stopul a fost atins.</t>
        </is>
      </c>
    </row>
    <row r="13">
      <c r="A13" s="3" t="inlineStr">
        <is>
          <t>Conform planului: da / nu. E cea mai importantă coloană pentru progresul tău.</t>
        </is>
      </c>
    </row>
    <row r="14">
      <c r="A14" s="3" t="inlineStr">
        <is>
          <t>Emoție: calm, nervos, FOMO, plictiseală, frică etc.</t>
        </is>
      </c>
    </row>
    <row r="15">
      <c r="A15" t="inlineStr"/>
    </row>
    <row r="16">
      <c r="A16" s="4" t="inlineStr">
        <is>
          <t>Regula de aur: nu evalua strategia înainte de minimum 30 de tranzacții. Ideal 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5" t="inlineStr">
        <is>
          <t>Statistici (se calculează automat)</t>
        </is>
      </c>
    </row>
    <row r="3">
      <c r="A3" s="6" t="inlineStr">
        <is>
          <t>Număr de tranzacții</t>
        </is>
      </c>
      <c r="B3" s="7">
        <f>COUNT(Jurnal!$M$2:$M$501)</f>
        <v/>
      </c>
      <c r="C3" s="8" t="inlineStr">
        <is>
          <t>Sub 30: rezultatele sunt aproape doar zgomot.</t>
        </is>
      </c>
    </row>
    <row r="4">
      <c r="A4" s="6" t="inlineStr">
        <is>
          <t>Câștigătoare</t>
        </is>
      </c>
      <c r="B4" s="7">
        <f>COUNTIF(Jurnal!$M$2:$M$501,"&gt;0")</f>
        <v/>
      </c>
      <c r="C4" s="8" t="inlineStr"/>
    </row>
    <row r="5">
      <c r="A5" s="6" t="inlineStr">
        <is>
          <t>Pierzătoare</t>
        </is>
      </c>
      <c r="B5" s="7">
        <f>COUNTIF(Jurnal!$M$2:$M$501,"&lt;0")</f>
        <v/>
      </c>
      <c r="C5" s="8" t="inlineStr"/>
    </row>
    <row r="6">
      <c r="A6" s="6" t="inlineStr">
        <is>
          <t>Rata de câștig</t>
        </is>
      </c>
      <c r="B6" s="9">
        <f>IF(B3=0,0,B4/B3)</f>
        <v/>
      </c>
      <c r="C6" s="8" t="inlineStr">
        <is>
          <t>Contează doar împreună cu câștigul mediu.</t>
        </is>
      </c>
    </row>
    <row r="7">
      <c r="A7" s="6" t="inlineStr">
        <is>
          <t>Câștig mediu (R)</t>
        </is>
      </c>
      <c r="B7" s="10">
        <f>IFERROR(AVERAGEIF(Jurnal!$M$2:$M$501,"&gt;0"),0)</f>
        <v/>
      </c>
      <c r="C7" s="8" t="inlineStr"/>
    </row>
    <row r="8">
      <c r="A8" s="6" t="inlineStr">
        <is>
          <t>Pierdere medie (R)</t>
        </is>
      </c>
      <c r="B8" s="10">
        <f>IFERROR(AVERAGEIF(Jurnal!$M$2:$M$501,"&lt;0"),0)</f>
        <v/>
      </c>
      <c r="C8" s="8" t="inlineStr">
        <is>
          <t>Ar trebui să fie aproape de −1R. Mult peste: muți stopul.</t>
        </is>
      </c>
    </row>
    <row r="9">
      <c r="A9" s="6" t="inlineStr">
        <is>
          <t>Speranța (R / tranzacție)</t>
        </is>
      </c>
      <c r="B9" s="10">
        <f>IFERROR(AVERAGE(Jurnal!$M$2:$M$501),0)</f>
        <v/>
      </c>
      <c r="C9" s="8" t="inlineStr">
        <is>
          <t>Peste 0 = strategie profitabilă; peste +0,2R = bine.</t>
        </is>
      </c>
    </row>
    <row r="10">
      <c r="A10" s="6" t="inlineStr">
        <is>
          <t>Total (R)</t>
        </is>
      </c>
      <c r="B10" s="10">
        <f>SUM(Jurnal!$M$2:$M$501)</f>
        <v/>
      </c>
      <c r="C10" s="8" t="inlineStr"/>
    </row>
    <row r="11">
      <c r="A11" s="6" t="inlineStr">
        <is>
          <t>Profit factor</t>
        </is>
      </c>
      <c r="B11" s="11">
        <f>IFERROR(SUMIF(Jurnal!$M$2:$M$501,"&gt;0")/-SUMIF(Jurnal!$M$2:$M$501,"&lt;0"),0)</f>
        <v/>
      </c>
      <c r="C11" s="8" t="inlineStr">
        <is>
          <t>Peste 1 = profitabil; 1,5–2 = bun.</t>
        </is>
      </c>
    </row>
    <row r="12">
      <c r="A12" s="6" t="inlineStr">
        <is>
          <t>Drawdown maxim (R)</t>
        </is>
      </c>
      <c r="B12" s="12">
        <f>IFERROR(MAX(Jurnal!$T$2:$T$501),0)</f>
        <v/>
      </c>
      <c r="C12" s="8" t="inlineStr">
        <is>
          <t>Compară-l cu drawdown-ul din backtest.</t>
        </is>
      </c>
    </row>
    <row r="13">
      <c r="A13" s="6" t="inlineStr">
        <is>
          <t>Cea mai lungă serie de pierderi</t>
        </is>
      </c>
      <c r="B13" s="7">
        <f>IFERROR(MAX(Jurnal!$U$2:$U$501),0)</f>
        <v/>
      </c>
      <c r="C13" s="8" t="inlineStr"/>
    </row>
    <row r="14">
      <c r="A14" s="6" t="inlineStr">
        <is>
          <t>SQN</t>
        </is>
      </c>
      <c r="B14" s="11">
        <f>IFERROR(SQRT(B3)*B9/STDEV(Jurnal!$M$2:$M$501),0)</f>
        <v/>
      </c>
      <c r="C14" s="8" t="inlineStr">
        <is>
          <t>Peste 1,6 = ok; peste 2,5 = foarte bun (cu minimum 30 de tranzacții).</t>
        </is>
      </c>
    </row>
    <row r="15">
      <c r="A15" s="6" t="inlineStr">
        <is>
          <t>Tranzacții conform planului</t>
        </is>
      </c>
      <c r="B15" s="7">
        <f>COUNTIF(Jurnal!$P$2:$P$501,"da")</f>
        <v/>
      </c>
      <c r="C15" s="8" t="inlineStr"/>
    </row>
    <row r="16">
      <c r="A16" s="6" t="inlineStr">
        <is>
          <t>Speranța: conform planului</t>
        </is>
      </c>
      <c r="B16" s="10">
        <f>IFERROR(AVERAGEIF(Jurnal!$P$2:$P$501,"da",Jurnal!$M$2:$M$501),0)</f>
        <v/>
      </c>
      <c r="C16" s="8" t="inlineStr">
        <is>
          <t>Compară cu rândul de mai jos.</t>
        </is>
      </c>
    </row>
    <row r="17">
      <c r="A17" s="6" t="inlineStr">
        <is>
          <t>Speranța: în afara planului</t>
        </is>
      </c>
      <c r="B17" s="10">
        <f>IFERROR(AVERAGEIF(Jurnal!$P$2:$P$501,"nu",Jurnal!$M$2:$M$501),0)</f>
        <v/>
      </c>
      <c r="C17" s="8" t="inlineStr">
        <is>
          <t>De obicei mult mai proastă. Asta e lecția.</t>
        </is>
      </c>
    </row>
    <row r="20">
      <c r="A20" s="2" t="inlineStr">
        <is>
          <t>Curba de capital (R cumulat)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8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1" customWidth="1" min="14" max="14"/>
    <col width="14" customWidth="1" min="15" max="15"/>
    <col width="15" customWidth="1" min="16" max="16"/>
    <col width="14" customWidth="1" min="17" max="17"/>
    <col width="40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30" customHeight="1">
      <c r="A1" s="13" t="inlineStr">
        <is>
          <t>Nr.</t>
        </is>
      </c>
      <c r="B1" s="13" t="inlineStr">
        <is>
          <t>Data</t>
        </is>
      </c>
      <c r="C1" s="13" t="inlineStr">
        <is>
          <t>Instrument</t>
        </is>
      </c>
      <c r="D1" s="13" t="inlineStr">
        <is>
          <t>Direcție</t>
        </is>
      </c>
      <c r="E1" s="13" t="inlineStr">
        <is>
          <t>Setup</t>
        </is>
      </c>
      <c r="F1" s="13" t="inlineStr">
        <is>
          <t>Interval</t>
        </is>
      </c>
      <c r="G1" s="13" t="inlineStr">
        <is>
          <t>Intrare</t>
        </is>
      </c>
      <c r="H1" s="13" t="inlineStr">
        <is>
          <t>Stop</t>
        </is>
      </c>
      <c r="I1" s="13" t="inlineStr">
        <is>
          <t>Țintă</t>
        </is>
      </c>
      <c r="J1" s="13" t="inlineStr">
        <is>
          <t>Mărime</t>
        </is>
      </c>
      <c r="K1" s="13" t="inlineStr">
        <is>
          <t>Ieșire</t>
        </is>
      </c>
      <c r="L1" s="13" t="inlineStr">
        <is>
          <t>Risc / unitate</t>
        </is>
      </c>
      <c r="M1" s="13" t="inlineStr">
        <is>
          <t>Rezultat (R)</t>
        </is>
      </c>
      <c r="N1" s="13" t="inlineStr">
        <is>
          <t>R cumulat</t>
        </is>
      </c>
      <c r="O1" s="13" t="inlineStr">
        <is>
          <t>Rezultat (bani)</t>
        </is>
      </c>
      <c r="P1" s="13" t="inlineStr">
        <is>
          <t>Conform planului</t>
        </is>
      </c>
      <c r="Q1" s="13" t="inlineStr">
        <is>
          <t>Emoție</t>
        </is>
      </c>
      <c r="R1" s="13" t="inlineStr">
        <is>
          <t>Greșeală / lecție</t>
        </is>
      </c>
      <c r="S1" s="14" t="inlineStr">
        <is>
          <t>Vârf cumulat</t>
        </is>
      </c>
      <c r="T1" s="14" t="inlineStr">
        <is>
          <t>Drawdown</t>
        </is>
      </c>
      <c r="U1" s="14" t="inlineStr">
        <is>
          <t>Serie pierderi</t>
        </is>
      </c>
    </row>
    <row r="2">
      <c r="A2" s="6">
        <f>IF(B2="","",ROW()-1)</f>
        <v/>
      </c>
      <c r="B2" s="15" t="inlineStr">
        <is>
          <t>2026-03-03</t>
        </is>
      </c>
      <c r="C2" s="15" t="inlineStr">
        <is>
          <t>EUR/USD</t>
        </is>
      </c>
      <c r="D2" s="15" t="inlineStr">
        <is>
          <t>Long</t>
        </is>
      </c>
      <c r="E2" s="15" t="inlineStr">
        <is>
          <t>Pullback EMA</t>
        </is>
      </c>
      <c r="F2" s="15" t="inlineStr">
        <is>
          <t>D1</t>
        </is>
      </c>
      <c r="G2" s="16" t="n">
        <v>1.085</v>
      </c>
      <c r="H2" s="16" t="n">
        <v>1.079</v>
      </c>
      <c r="I2" s="16" t="n">
        <v>1.097</v>
      </c>
      <c r="J2" s="15" t="n">
        <v>0.08</v>
      </c>
      <c r="K2" s="16" t="n">
        <v>1.097</v>
      </c>
      <c r="L2" s="17">
        <f>IF(OR(G2="",H2=""),"",ABS(G2-H2))</f>
        <v/>
      </c>
      <c r="M2" s="18">
        <f>IF(OR(K2="",L2="",L2=0),"",IF(D2="Short",(G2-K2)/L2,(K2-G2)/L2))</f>
        <v/>
      </c>
      <c r="N2" s="18">
        <f>IF(M2="","",SUM($M$2:M2))</f>
        <v/>
      </c>
      <c r="O2" s="19" t="n">
        <v>96</v>
      </c>
      <c r="P2" s="15" t="inlineStr">
        <is>
          <t>da</t>
        </is>
      </c>
      <c r="Q2" s="15" t="inlineStr">
        <is>
          <t>calm</t>
        </is>
      </c>
      <c r="R2" s="15" t="inlineStr">
        <is>
          <t>Conform planului</t>
        </is>
      </c>
      <c r="S2">
        <f>IF(N2="","",MAX(0,MAX($N$2:N2)))</f>
        <v/>
      </c>
      <c r="T2">
        <f>IF(N2="","",S2-N2)</f>
        <v/>
      </c>
      <c r="U2">
        <f>IF(M2="","",IF(M2&lt;0,1,0))</f>
        <v/>
      </c>
    </row>
    <row r="3">
      <c r="A3" s="6">
        <f>IF(B3="","",ROW()-1)</f>
        <v/>
      </c>
      <c r="B3" s="15" t="inlineStr">
        <is>
          <t>2026-03-06</t>
        </is>
      </c>
      <c r="C3" s="15" t="inlineStr">
        <is>
          <t>GBP/USD</t>
        </is>
      </c>
      <c r="D3" s="15" t="inlineStr">
        <is>
          <t>Long</t>
        </is>
      </c>
      <c r="E3" s="15" t="inlineStr">
        <is>
          <t>Pullback EMA</t>
        </is>
      </c>
      <c r="F3" s="15" t="inlineStr">
        <is>
          <t>D1</t>
        </is>
      </c>
      <c r="G3" s="16" t="n">
        <v>1.271</v>
      </c>
      <c r="H3" s="16" t="n">
        <v>1.264</v>
      </c>
      <c r="I3" s="16" t="n">
        <v>1.285</v>
      </c>
      <c r="J3" s="15" t="n">
        <v>0.07000000000000001</v>
      </c>
      <c r="K3" s="16" t="n">
        <v>1.264</v>
      </c>
      <c r="L3" s="17">
        <f>IF(OR(G3="",H3=""),"",ABS(G3-H3))</f>
        <v/>
      </c>
      <c r="M3" s="18">
        <f>IF(OR(K3="",L3="",L3=0),"",IF(D3="Short",(G3-K3)/L3,(K3-G3)/L3))</f>
        <v/>
      </c>
      <c r="N3" s="18">
        <f>IF(M3="","",SUM($M$2:M3))</f>
        <v/>
      </c>
      <c r="O3" s="19" t="n">
        <v>-49</v>
      </c>
      <c r="P3" s="15" t="inlineStr">
        <is>
          <t>da</t>
        </is>
      </c>
      <c r="Q3" s="15" t="inlineStr">
        <is>
          <t>calm</t>
        </is>
      </c>
      <c r="R3" s="15" t="inlineStr">
        <is>
          <t>Stop atins, OK</t>
        </is>
      </c>
      <c r="S3">
        <f>IF(N3="","",MAX(0,MAX($N$2:N3)))</f>
        <v/>
      </c>
      <c r="T3">
        <f>IF(N3="","",S3-N3)</f>
        <v/>
      </c>
      <c r="U3">
        <f>IF(M3="","",IF(M3&lt;0,IF(U2="",1,U2+1),0))</f>
        <v/>
      </c>
    </row>
    <row r="4">
      <c r="A4" s="6">
        <f>IF(B4="","",ROW()-1)</f>
        <v/>
      </c>
      <c r="B4" s="15" t="inlineStr">
        <is>
          <t>2026-03-07</t>
        </is>
      </c>
      <c r="C4" s="15" t="inlineStr">
        <is>
          <t>US500</t>
        </is>
      </c>
      <c r="D4" s="15" t="inlineStr">
        <is>
          <t>Short</t>
        </is>
      </c>
      <c r="E4" s="15" t="inlineStr">
        <is>
          <t>Fără setup</t>
        </is>
      </c>
      <c r="F4" s="15" t="inlineStr">
        <is>
          <t>H1</t>
        </is>
      </c>
      <c r="G4" s="16" t="n">
        <v>5120</v>
      </c>
      <c r="H4" s="16" t="n">
        <v>5150</v>
      </c>
      <c r="I4" s="16" t="n">
        <v>5060</v>
      </c>
      <c r="J4" s="15" t="n">
        <v>1</v>
      </c>
      <c r="K4" s="16" t="n">
        <v>5160</v>
      </c>
      <c r="L4" s="17">
        <f>IF(OR(G4="",H4=""),"",ABS(G4-H4))</f>
        <v/>
      </c>
      <c r="M4" s="18">
        <f>IF(OR(K4="",L4="",L4=0),"",IF(D4="Short",(G4-K4)/L4,(K4-G4)/L4))</f>
        <v/>
      </c>
      <c r="N4" s="18">
        <f>IF(M4="","",SUM($M$2:M4))</f>
        <v/>
      </c>
      <c r="O4" s="19" t="n">
        <v>-40</v>
      </c>
      <c r="P4" s="15" t="inlineStr">
        <is>
          <t>nu</t>
        </is>
      </c>
      <c r="Q4" s="15" t="inlineStr">
        <is>
          <t>nervos</t>
        </is>
      </c>
      <c r="R4" s="15" t="inlineStr">
        <is>
          <t>Voiam să recuperez; am mutat stopul</t>
        </is>
      </c>
      <c r="S4">
        <f>IF(N4="","",MAX(0,MAX($N$2:N4)))</f>
        <v/>
      </c>
      <c r="T4">
        <f>IF(N4="","",S4-N4)</f>
        <v/>
      </c>
      <c r="U4">
        <f>IF(M4="","",IF(M4&lt;0,IF(U3="",1,U3+1),0))</f>
        <v/>
      </c>
    </row>
    <row r="5">
      <c r="A5" s="6">
        <f>IF(B5="","",ROW()-1)</f>
        <v/>
      </c>
      <c r="B5" s="15" t="n"/>
      <c r="C5" s="15" t="n"/>
      <c r="D5" s="15" t="n"/>
      <c r="E5" s="15" t="n"/>
      <c r="F5" s="15" t="n"/>
      <c r="G5" s="16" t="n"/>
      <c r="H5" s="16" t="n"/>
      <c r="I5" s="16" t="n"/>
      <c r="J5" s="15" t="n"/>
      <c r="K5" s="16" t="n"/>
      <c r="L5" s="17">
        <f>IF(OR(G5="",H5=""),"",ABS(G5-H5))</f>
        <v/>
      </c>
      <c r="M5" s="18">
        <f>IF(OR(K5="",L5="",L5=0),"",IF(D5="Short",(G5-K5)/L5,(K5-G5)/L5))</f>
        <v/>
      </c>
      <c r="N5" s="18">
        <f>IF(M5="","",SUM($M$2:M5))</f>
        <v/>
      </c>
      <c r="O5" s="19" t="n"/>
      <c r="P5" s="15" t="n"/>
      <c r="Q5" s="15" t="n"/>
      <c r="R5" s="15" t="n"/>
      <c r="S5">
        <f>IF(N5="","",MAX(0,MAX($N$2:N5)))</f>
        <v/>
      </c>
      <c r="T5">
        <f>IF(N5="","",S5-N5)</f>
        <v/>
      </c>
      <c r="U5">
        <f>IF(M5="","",IF(M5&lt;0,IF(U4="",1,U4+1),0))</f>
        <v/>
      </c>
    </row>
    <row r="6">
      <c r="A6" s="6">
        <f>IF(B6="","",ROW()-1)</f>
        <v/>
      </c>
      <c r="B6" s="15" t="n"/>
      <c r="C6" s="15" t="n"/>
      <c r="D6" s="15" t="n"/>
      <c r="E6" s="15" t="n"/>
      <c r="F6" s="15" t="n"/>
      <c r="G6" s="16" t="n"/>
      <c r="H6" s="16" t="n"/>
      <c r="I6" s="16" t="n"/>
      <c r="J6" s="15" t="n"/>
      <c r="K6" s="16" t="n"/>
      <c r="L6" s="17">
        <f>IF(OR(G6="",H6=""),"",ABS(G6-H6))</f>
        <v/>
      </c>
      <c r="M6" s="18">
        <f>IF(OR(K6="",L6="",L6=0),"",IF(D6="Short",(G6-K6)/L6,(K6-G6)/L6))</f>
        <v/>
      </c>
      <c r="N6" s="18">
        <f>IF(M6="","",SUM($M$2:M6))</f>
        <v/>
      </c>
      <c r="O6" s="19" t="n"/>
      <c r="P6" s="15" t="n"/>
      <c r="Q6" s="15" t="n"/>
      <c r="R6" s="15" t="n"/>
      <c r="S6">
        <f>IF(N6="","",MAX(0,MAX($N$2:N6)))</f>
        <v/>
      </c>
      <c r="T6">
        <f>IF(N6="","",S6-N6)</f>
        <v/>
      </c>
      <c r="U6">
        <f>IF(M6="","",IF(M6&lt;0,IF(U5="",1,U5+1),0))</f>
        <v/>
      </c>
    </row>
    <row r="7">
      <c r="A7" s="6">
        <f>IF(B7="","",ROW()-1)</f>
        <v/>
      </c>
      <c r="B7" s="15" t="n"/>
      <c r="C7" s="15" t="n"/>
      <c r="D7" s="15" t="n"/>
      <c r="E7" s="15" t="n"/>
      <c r="F7" s="15" t="n"/>
      <c r="G7" s="16" t="n"/>
      <c r="H7" s="16" t="n"/>
      <c r="I7" s="16" t="n"/>
      <c r="J7" s="15" t="n"/>
      <c r="K7" s="16" t="n"/>
      <c r="L7" s="17">
        <f>IF(OR(G7="",H7=""),"",ABS(G7-H7))</f>
        <v/>
      </c>
      <c r="M7" s="18">
        <f>IF(OR(K7="",L7="",L7=0),"",IF(D7="Short",(G7-K7)/L7,(K7-G7)/L7))</f>
        <v/>
      </c>
      <c r="N7" s="18">
        <f>IF(M7="","",SUM($M$2:M7))</f>
        <v/>
      </c>
      <c r="O7" s="19" t="n"/>
      <c r="P7" s="15" t="n"/>
      <c r="Q7" s="15" t="n"/>
      <c r="R7" s="15" t="n"/>
      <c r="S7">
        <f>IF(N7="","",MAX(0,MAX($N$2:N7)))</f>
        <v/>
      </c>
      <c r="T7">
        <f>IF(N7="","",S7-N7)</f>
        <v/>
      </c>
      <c r="U7">
        <f>IF(M7="","",IF(M7&lt;0,IF(U6="",1,U6+1),0))</f>
        <v/>
      </c>
    </row>
    <row r="8">
      <c r="A8" s="6">
        <f>IF(B8="","",ROW()-1)</f>
        <v/>
      </c>
      <c r="B8" s="15" t="n"/>
      <c r="C8" s="15" t="n"/>
      <c r="D8" s="15" t="n"/>
      <c r="E8" s="15" t="n"/>
      <c r="F8" s="15" t="n"/>
      <c r="G8" s="16" t="n"/>
      <c r="H8" s="16" t="n"/>
      <c r="I8" s="16" t="n"/>
      <c r="J8" s="15" t="n"/>
      <c r="K8" s="16" t="n"/>
      <c r="L8" s="17">
        <f>IF(OR(G8="",H8=""),"",ABS(G8-H8))</f>
        <v/>
      </c>
      <c r="M8" s="18">
        <f>IF(OR(K8="",L8="",L8=0),"",IF(D8="Short",(G8-K8)/L8,(K8-G8)/L8))</f>
        <v/>
      </c>
      <c r="N8" s="18">
        <f>IF(M8="","",SUM($M$2:M8))</f>
        <v/>
      </c>
      <c r="O8" s="19" t="n"/>
      <c r="P8" s="15" t="n"/>
      <c r="Q8" s="15" t="n"/>
      <c r="R8" s="15" t="n"/>
      <c r="S8">
        <f>IF(N8="","",MAX(0,MAX($N$2:N8)))</f>
        <v/>
      </c>
      <c r="T8">
        <f>IF(N8="","",S8-N8)</f>
        <v/>
      </c>
      <c r="U8">
        <f>IF(M8="","",IF(M8&lt;0,IF(U7="",1,U7+1),0))</f>
        <v/>
      </c>
    </row>
    <row r="9">
      <c r="A9" s="6">
        <f>IF(B9="","",ROW()-1)</f>
        <v/>
      </c>
      <c r="B9" s="15" t="n"/>
      <c r="C9" s="15" t="n"/>
      <c r="D9" s="15" t="n"/>
      <c r="E9" s="15" t="n"/>
      <c r="F9" s="15" t="n"/>
      <c r="G9" s="16" t="n"/>
      <c r="H9" s="16" t="n"/>
      <c r="I9" s="16" t="n"/>
      <c r="J9" s="15" t="n"/>
      <c r="K9" s="16" t="n"/>
      <c r="L9" s="17">
        <f>IF(OR(G9="",H9=""),"",ABS(G9-H9))</f>
        <v/>
      </c>
      <c r="M9" s="18">
        <f>IF(OR(K9="",L9="",L9=0),"",IF(D9="Short",(G9-K9)/L9,(K9-G9)/L9))</f>
        <v/>
      </c>
      <c r="N9" s="18">
        <f>IF(M9="","",SUM($M$2:M9))</f>
        <v/>
      </c>
      <c r="O9" s="19" t="n"/>
      <c r="P9" s="15" t="n"/>
      <c r="Q9" s="15" t="n"/>
      <c r="R9" s="15" t="n"/>
      <c r="S9">
        <f>IF(N9="","",MAX(0,MAX($N$2:N9)))</f>
        <v/>
      </c>
      <c r="T9">
        <f>IF(N9="","",S9-N9)</f>
        <v/>
      </c>
      <c r="U9">
        <f>IF(M9="","",IF(M9&lt;0,IF(U8="",1,U8+1),0))</f>
        <v/>
      </c>
    </row>
    <row r="10">
      <c r="A10" s="6">
        <f>IF(B10="","",ROW()-1)</f>
        <v/>
      </c>
      <c r="B10" s="15" t="n"/>
      <c r="C10" s="15" t="n"/>
      <c r="D10" s="15" t="n"/>
      <c r="E10" s="15" t="n"/>
      <c r="F10" s="15" t="n"/>
      <c r="G10" s="16" t="n"/>
      <c r="H10" s="16" t="n"/>
      <c r="I10" s="16" t="n"/>
      <c r="J10" s="15" t="n"/>
      <c r="K10" s="16" t="n"/>
      <c r="L10" s="17">
        <f>IF(OR(G10="",H10=""),"",ABS(G10-H10))</f>
        <v/>
      </c>
      <c r="M10" s="18">
        <f>IF(OR(K10="",L10="",L10=0),"",IF(D10="Short",(G10-K10)/L10,(K10-G10)/L10))</f>
        <v/>
      </c>
      <c r="N10" s="18">
        <f>IF(M10="","",SUM($M$2:M10))</f>
        <v/>
      </c>
      <c r="O10" s="19" t="n"/>
      <c r="P10" s="15" t="n"/>
      <c r="Q10" s="15" t="n"/>
      <c r="R10" s="15" t="n"/>
      <c r="S10">
        <f>IF(N10="","",MAX(0,MAX($N$2:N10)))</f>
        <v/>
      </c>
      <c r="T10">
        <f>IF(N10="","",S10-N10)</f>
        <v/>
      </c>
      <c r="U10">
        <f>IF(M10="","",IF(M10&lt;0,IF(U9="",1,U9+1),0))</f>
        <v/>
      </c>
    </row>
    <row r="11">
      <c r="A11" s="6">
        <f>IF(B11="","",ROW()-1)</f>
        <v/>
      </c>
      <c r="B11" s="15" t="n"/>
      <c r="C11" s="15" t="n"/>
      <c r="D11" s="15" t="n"/>
      <c r="E11" s="15" t="n"/>
      <c r="F11" s="15" t="n"/>
      <c r="G11" s="16" t="n"/>
      <c r="H11" s="16" t="n"/>
      <c r="I11" s="16" t="n"/>
      <c r="J11" s="15" t="n"/>
      <c r="K11" s="16" t="n"/>
      <c r="L11" s="17">
        <f>IF(OR(G11="",H11=""),"",ABS(G11-H11))</f>
        <v/>
      </c>
      <c r="M11" s="18">
        <f>IF(OR(K11="",L11="",L11=0),"",IF(D11="Short",(G11-K11)/L11,(K11-G11)/L11))</f>
        <v/>
      </c>
      <c r="N11" s="18">
        <f>IF(M11="","",SUM($M$2:M11))</f>
        <v/>
      </c>
      <c r="O11" s="19" t="n"/>
      <c r="P11" s="15" t="n"/>
      <c r="Q11" s="15" t="n"/>
      <c r="R11" s="15" t="n"/>
      <c r="S11">
        <f>IF(N11="","",MAX(0,MAX($N$2:N11)))</f>
        <v/>
      </c>
      <c r="T11">
        <f>IF(N11="","",S11-N11)</f>
        <v/>
      </c>
      <c r="U11">
        <f>IF(M11="","",IF(M11&lt;0,IF(U10="",1,U10+1),0))</f>
        <v/>
      </c>
    </row>
    <row r="12">
      <c r="A12" s="6">
        <f>IF(B12="","",ROW()-1)</f>
        <v/>
      </c>
      <c r="B12" s="15" t="n"/>
      <c r="C12" s="15" t="n"/>
      <c r="D12" s="15" t="n"/>
      <c r="E12" s="15" t="n"/>
      <c r="F12" s="15" t="n"/>
      <c r="G12" s="16" t="n"/>
      <c r="H12" s="16" t="n"/>
      <c r="I12" s="16" t="n"/>
      <c r="J12" s="15" t="n"/>
      <c r="K12" s="16" t="n"/>
      <c r="L12" s="17">
        <f>IF(OR(G12="",H12=""),"",ABS(G12-H12))</f>
        <v/>
      </c>
      <c r="M12" s="18">
        <f>IF(OR(K12="",L12="",L12=0),"",IF(D12="Short",(G12-K12)/L12,(K12-G12)/L12))</f>
        <v/>
      </c>
      <c r="N12" s="18">
        <f>IF(M12="","",SUM($M$2:M12))</f>
        <v/>
      </c>
      <c r="O12" s="19" t="n"/>
      <c r="P12" s="15" t="n"/>
      <c r="Q12" s="15" t="n"/>
      <c r="R12" s="15" t="n"/>
      <c r="S12">
        <f>IF(N12="","",MAX(0,MAX($N$2:N12)))</f>
        <v/>
      </c>
      <c r="T12">
        <f>IF(N12="","",S12-N12)</f>
        <v/>
      </c>
      <c r="U12">
        <f>IF(M12="","",IF(M12&lt;0,IF(U11="",1,U11+1),0))</f>
        <v/>
      </c>
    </row>
    <row r="13">
      <c r="A13" s="6">
        <f>IF(B13="","",ROW()-1)</f>
        <v/>
      </c>
      <c r="B13" s="15" t="n"/>
      <c r="C13" s="15" t="n"/>
      <c r="D13" s="15" t="n"/>
      <c r="E13" s="15" t="n"/>
      <c r="F13" s="15" t="n"/>
      <c r="G13" s="16" t="n"/>
      <c r="H13" s="16" t="n"/>
      <c r="I13" s="16" t="n"/>
      <c r="J13" s="15" t="n"/>
      <c r="K13" s="16" t="n"/>
      <c r="L13" s="17">
        <f>IF(OR(G13="",H13=""),"",ABS(G13-H13))</f>
        <v/>
      </c>
      <c r="M13" s="18">
        <f>IF(OR(K13="",L13="",L13=0),"",IF(D13="Short",(G13-K13)/L13,(K13-G13)/L13))</f>
        <v/>
      </c>
      <c r="N13" s="18">
        <f>IF(M13="","",SUM($M$2:M13))</f>
        <v/>
      </c>
      <c r="O13" s="19" t="n"/>
      <c r="P13" s="15" t="n"/>
      <c r="Q13" s="15" t="n"/>
      <c r="R13" s="15" t="n"/>
      <c r="S13">
        <f>IF(N13="","",MAX(0,MAX($N$2:N13)))</f>
        <v/>
      </c>
      <c r="T13">
        <f>IF(N13="","",S13-N13)</f>
        <v/>
      </c>
      <c r="U13">
        <f>IF(M13="","",IF(M13&lt;0,IF(U12="",1,U12+1),0))</f>
        <v/>
      </c>
    </row>
    <row r="14">
      <c r="A14" s="6">
        <f>IF(B14="","",ROW()-1)</f>
        <v/>
      </c>
      <c r="B14" s="15" t="n"/>
      <c r="C14" s="15" t="n"/>
      <c r="D14" s="15" t="n"/>
      <c r="E14" s="15" t="n"/>
      <c r="F14" s="15" t="n"/>
      <c r="G14" s="16" t="n"/>
      <c r="H14" s="16" t="n"/>
      <c r="I14" s="16" t="n"/>
      <c r="J14" s="15" t="n"/>
      <c r="K14" s="16" t="n"/>
      <c r="L14" s="17">
        <f>IF(OR(G14="",H14=""),"",ABS(G14-H14))</f>
        <v/>
      </c>
      <c r="M14" s="18">
        <f>IF(OR(K14="",L14="",L14=0),"",IF(D14="Short",(G14-K14)/L14,(K14-G14)/L14))</f>
        <v/>
      </c>
      <c r="N14" s="18">
        <f>IF(M14="","",SUM($M$2:M14))</f>
        <v/>
      </c>
      <c r="O14" s="19" t="n"/>
      <c r="P14" s="15" t="n"/>
      <c r="Q14" s="15" t="n"/>
      <c r="R14" s="15" t="n"/>
      <c r="S14">
        <f>IF(N14="","",MAX(0,MAX($N$2:N14)))</f>
        <v/>
      </c>
      <c r="T14">
        <f>IF(N14="","",S14-N14)</f>
        <v/>
      </c>
      <c r="U14">
        <f>IF(M14="","",IF(M14&lt;0,IF(U13="",1,U13+1),0))</f>
        <v/>
      </c>
    </row>
    <row r="15">
      <c r="A15" s="6">
        <f>IF(B15="","",ROW()-1)</f>
        <v/>
      </c>
      <c r="B15" s="15" t="n"/>
      <c r="C15" s="15" t="n"/>
      <c r="D15" s="15" t="n"/>
      <c r="E15" s="15" t="n"/>
      <c r="F15" s="15" t="n"/>
      <c r="G15" s="16" t="n"/>
      <c r="H15" s="16" t="n"/>
      <c r="I15" s="16" t="n"/>
      <c r="J15" s="15" t="n"/>
      <c r="K15" s="16" t="n"/>
      <c r="L15" s="17">
        <f>IF(OR(G15="",H15=""),"",ABS(G15-H15))</f>
        <v/>
      </c>
      <c r="M15" s="18">
        <f>IF(OR(K15="",L15="",L15=0),"",IF(D15="Short",(G15-K15)/L15,(K15-G15)/L15))</f>
        <v/>
      </c>
      <c r="N15" s="18">
        <f>IF(M15="","",SUM($M$2:M15))</f>
        <v/>
      </c>
      <c r="O15" s="19" t="n"/>
      <c r="P15" s="15" t="n"/>
      <c r="Q15" s="15" t="n"/>
      <c r="R15" s="15" t="n"/>
      <c r="S15">
        <f>IF(N15="","",MAX(0,MAX($N$2:N15)))</f>
        <v/>
      </c>
      <c r="T15">
        <f>IF(N15="","",S15-N15)</f>
        <v/>
      </c>
      <c r="U15">
        <f>IF(M15="","",IF(M15&lt;0,IF(U14="",1,U14+1),0))</f>
        <v/>
      </c>
    </row>
    <row r="16">
      <c r="A16" s="6">
        <f>IF(B16="","",ROW()-1)</f>
        <v/>
      </c>
      <c r="B16" s="15" t="n"/>
      <c r="C16" s="15" t="n"/>
      <c r="D16" s="15" t="n"/>
      <c r="E16" s="15" t="n"/>
      <c r="F16" s="15" t="n"/>
      <c r="G16" s="16" t="n"/>
      <c r="H16" s="16" t="n"/>
      <c r="I16" s="16" t="n"/>
      <c r="J16" s="15" t="n"/>
      <c r="K16" s="16" t="n"/>
      <c r="L16" s="17">
        <f>IF(OR(G16="",H16=""),"",ABS(G16-H16))</f>
        <v/>
      </c>
      <c r="M16" s="18">
        <f>IF(OR(K16="",L16="",L16=0),"",IF(D16="Short",(G16-K16)/L16,(K16-G16)/L16))</f>
        <v/>
      </c>
      <c r="N16" s="18">
        <f>IF(M16="","",SUM($M$2:M16))</f>
        <v/>
      </c>
      <c r="O16" s="19" t="n"/>
      <c r="P16" s="15" t="n"/>
      <c r="Q16" s="15" t="n"/>
      <c r="R16" s="15" t="n"/>
      <c r="S16">
        <f>IF(N16="","",MAX(0,MAX($N$2:N16)))</f>
        <v/>
      </c>
      <c r="T16">
        <f>IF(N16="","",S16-N16)</f>
        <v/>
      </c>
      <c r="U16">
        <f>IF(M16="","",IF(M16&lt;0,IF(U15="",1,U15+1),0))</f>
        <v/>
      </c>
    </row>
    <row r="17">
      <c r="A17" s="6">
        <f>IF(B17="","",ROW()-1)</f>
        <v/>
      </c>
      <c r="B17" s="15" t="n"/>
      <c r="C17" s="15" t="n"/>
      <c r="D17" s="15" t="n"/>
      <c r="E17" s="15" t="n"/>
      <c r="F17" s="15" t="n"/>
      <c r="G17" s="16" t="n"/>
      <c r="H17" s="16" t="n"/>
      <c r="I17" s="16" t="n"/>
      <c r="J17" s="15" t="n"/>
      <c r="K17" s="16" t="n"/>
      <c r="L17" s="17">
        <f>IF(OR(G17="",H17=""),"",ABS(G17-H17))</f>
        <v/>
      </c>
      <c r="M17" s="18">
        <f>IF(OR(K17="",L17="",L17=0),"",IF(D17="Short",(G17-K17)/L17,(K17-G17)/L17))</f>
        <v/>
      </c>
      <c r="N17" s="18">
        <f>IF(M17="","",SUM($M$2:M17))</f>
        <v/>
      </c>
      <c r="O17" s="19" t="n"/>
      <c r="P17" s="15" t="n"/>
      <c r="Q17" s="15" t="n"/>
      <c r="R17" s="15" t="n"/>
      <c r="S17">
        <f>IF(N17="","",MAX(0,MAX($N$2:N17)))</f>
        <v/>
      </c>
      <c r="T17">
        <f>IF(N17="","",S17-N17)</f>
        <v/>
      </c>
      <c r="U17">
        <f>IF(M17="","",IF(M17&lt;0,IF(U16="",1,U16+1),0))</f>
        <v/>
      </c>
    </row>
    <row r="18">
      <c r="A18" s="6">
        <f>IF(B18="","",ROW()-1)</f>
        <v/>
      </c>
      <c r="B18" s="15" t="n"/>
      <c r="C18" s="15" t="n"/>
      <c r="D18" s="15" t="n"/>
      <c r="E18" s="15" t="n"/>
      <c r="F18" s="15" t="n"/>
      <c r="G18" s="16" t="n"/>
      <c r="H18" s="16" t="n"/>
      <c r="I18" s="16" t="n"/>
      <c r="J18" s="15" t="n"/>
      <c r="K18" s="16" t="n"/>
      <c r="L18" s="17">
        <f>IF(OR(G18="",H18=""),"",ABS(G18-H18))</f>
        <v/>
      </c>
      <c r="M18" s="18">
        <f>IF(OR(K18="",L18="",L18=0),"",IF(D18="Short",(G18-K18)/L18,(K18-G18)/L18))</f>
        <v/>
      </c>
      <c r="N18" s="18">
        <f>IF(M18="","",SUM($M$2:M18))</f>
        <v/>
      </c>
      <c r="O18" s="19" t="n"/>
      <c r="P18" s="15" t="n"/>
      <c r="Q18" s="15" t="n"/>
      <c r="R18" s="15" t="n"/>
      <c r="S18">
        <f>IF(N18="","",MAX(0,MAX($N$2:N18)))</f>
        <v/>
      </c>
      <c r="T18">
        <f>IF(N18="","",S18-N18)</f>
        <v/>
      </c>
      <c r="U18">
        <f>IF(M18="","",IF(M18&lt;0,IF(U17="",1,U17+1),0))</f>
        <v/>
      </c>
    </row>
    <row r="19">
      <c r="A19" s="6">
        <f>IF(B19="","",ROW()-1)</f>
        <v/>
      </c>
      <c r="B19" s="15" t="n"/>
      <c r="C19" s="15" t="n"/>
      <c r="D19" s="15" t="n"/>
      <c r="E19" s="15" t="n"/>
      <c r="F19" s="15" t="n"/>
      <c r="G19" s="16" t="n"/>
      <c r="H19" s="16" t="n"/>
      <c r="I19" s="16" t="n"/>
      <c r="J19" s="15" t="n"/>
      <c r="K19" s="16" t="n"/>
      <c r="L19" s="17">
        <f>IF(OR(G19="",H19=""),"",ABS(G19-H19))</f>
        <v/>
      </c>
      <c r="M19" s="18">
        <f>IF(OR(K19="",L19="",L19=0),"",IF(D19="Short",(G19-K19)/L19,(K19-G19)/L19))</f>
        <v/>
      </c>
      <c r="N19" s="18">
        <f>IF(M19="","",SUM($M$2:M19))</f>
        <v/>
      </c>
      <c r="O19" s="19" t="n"/>
      <c r="P19" s="15" t="n"/>
      <c r="Q19" s="15" t="n"/>
      <c r="R19" s="15" t="n"/>
      <c r="S19">
        <f>IF(N19="","",MAX(0,MAX($N$2:N19)))</f>
        <v/>
      </c>
      <c r="T19">
        <f>IF(N19="","",S19-N19)</f>
        <v/>
      </c>
      <c r="U19">
        <f>IF(M19="","",IF(M19&lt;0,IF(U18="",1,U18+1),0))</f>
        <v/>
      </c>
    </row>
    <row r="20">
      <c r="A20" s="6">
        <f>IF(B20="","",ROW()-1)</f>
        <v/>
      </c>
      <c r="B20" s="15" t="n"/>
      <c r="C20" s="15" t="n"/>
      <c r="D20" s="15" t="n"/>
      <c r="E20" s="15" t="n"/>
      <c r="F20" s="15" t="n"/>
      <c r="G20" s="16" t="n"/>
      <c r="H20" s="16" t="n"/>
      <c r="I20" s="16" t="n"/>
      <c r="J20" s="15" t="n"/>
      <c r="K20" s="16" t="n"/>
      <c r="L20" s="17">
        <f>IF(OR(G20="",H20=""),"",ABS(G20-H20))</f>
        <v/>
      </c>
      <c r="M20" s="18">
        <f>IF(OR(K20="",L20="",L20=0),"",IF(D20="Short",(G20-K20)/L20,(K20-G20)/L20))</f>
        <v/>
      </c>
      <c r="N20" s="18">
        <f>IF(M20="","",SUM($M$2:M20))</f>
        <v/>
      </c>
      <c r="O20" s="19" t="n"/>
      <c r="P20" s="15" t="n"/>
      <c r="Q20" s="15" t="n"/>
      <c r="R20" s="15" t="n"/>
      <c r="S20">
        <f>IF(N20="","",MAX(0,MAX($N$2:N20)))</f>
        <v/>
      </c>
      <c r="T20">
        <f>IF(N20="","",S20-N20)</f>
        <v/>
      </c>
      <c r="U20">
        <f>IF(M20="","",IF(M20&lt;0,IF(U19="",1,U19+1),0))</f>
        <v/>
      </c>
    </row>
    <row r="21">
      <c r="A21" s="6">
        <f>IF(B21="","",ROW()-1)</f>
        <v/>
      </c>
      <c r="B21" s="15" t="n"/>
      <c r="C21" s="15" t="n"/>
      <c r="D21" s="15" t="n"/>
      <c r="E21" s="15" t="n"/>
      <c r="F21" s="15" t="n"/>
      <c r="G21" s="16" t="n"/>
      <c r="H21" s="16" t="n"/>
      <c r="I21" s="16" t="n"/>
      <c r="J21" s="15" t="n"/>
      <c r="K21" s="16" t="n"/>
      <c r="L21" s="17">
        <f>IF(OR(G21="",H21=""),"",ABS(G21-H21))</f>
        <v/>
      </c>
      <c r="M21" s="18">
        <f>IF(OR(K21="",L21="",L21=0),"",IF(D21="Short",(G21-K21)/L21,(K21-G21)/L21))</f>
        <v/>
      </c>
      <c r="N21" s="18">
        <f>IF(M21="","",SUM($M$2:M21))</f>
        <v/>
      </c>
      <c r="O21" s="19" t="n"/>
      <c r="P21" s="15" t="n"/>
      <c r="Q21" s="15" t="n"/>
      <c r="R21" s="15" t="n"/>
      <c r="S21">
        <f>IF(N21="","",MAX(0,MAX($N$2:N21)))</f>
        <v/>
      </c>
      <c r="T21">
        <f>IF(N21="","",S21-N21)</f>
        <v/>
      </c>
      <c r="U21">
        <f>IF(M21="","",IF(M21&lt;0,IF(U20="",1,U20+1),0))</f>
        <v/>
      </c>
    </row>
    <row r="22">
      <c r="A22" s="6">
        <f>IF(B22="","",ROW()-1)</f>
        <v/>
      </c>
      <c r="B22" s="15" t="n"/>
      <c r="C22" s="15" t="n"/>
      <c r="D22" s="15" t="n"/>
      <c r="E22" s="15" t="n"/>
      <c r="F22" s="15" t="n"/>
      <c r="G22" s="16" t="n"/>
      <c r="H22" s="16" t="n"/>
      <c r="I22" s="16" t="n"/>
      <c r="J22" s="15" t="n"/>
      <c r="K22" s="16" t="n"/>
      <c r="L22" s="17">
        <f>IF(OR(G22="",H22=""),"",ABS(G22-H22))</f>
        <v/>
      </c>
      <c r="M22" s="18">
        <f>IF(OR(K22="",L22="",L22=0),"",IF(D22="Short",(G22-K22)/L22,(K22-G22)/L22))</f>
        <v/>
      </c>
      <c r="N22" s="18">
        <f>IF(M22="","",SUM($M$2:M22))</f>
        <v/>
      </c>
      <c r="O22" s="19" t="n"/>
      <c r="P22" s="15" t="n"/>
      <c r="Q22" s="15" t="n"/>
      <c r="R22" s="15" t="n"/>
      <c r="S22">
        <f>IF(N22="","",MAX(0,MAX($N$2:N22)))</f>
        <v/>
      </c>
      <c r="T22">
        <f>IF(N22="","",S22-N22)</f>
        <v/>
      </c>
      <c r="U22">
        <f>IF(M22="","",IF(M22&lt;0,IF(U21="",1,U21+1),0))</f>
        <v/>
      </c>
    </row>
    <row r="23">
      <c r="A23" s="6">
        <f>IF(B23="","",ROW()-1)</f>
        <v/>
      </c>
      <c r="B23" s="15" t="n"/>
      <c r="C23" s="15" t="n"/>
      <c r="D23" s="15" t="n"/>
      <c r="E23" s="15" t="n"/>
      <c r="F23" s="15" t="n"/>
      <c r="G23" s="16" t="n"/>
      <c r="H23" s="16" t="n"/>
      <c r="I23" s="16" t="n"/>
      <c r="J23" s="15" t="n"/>
      <c r="K23" s="16" t="n"/>
      <c r="L23" s="17">
        <f>IF(OR(G23="",H23=""),"",ABS(G23-H23))</f>
        <v/>
      </c>
      <c r="M23" s="18">
        <f>IF(OR(K23="",L23="",L23=0),"",IF(D23="Short",(G23-K23)/L23,(K23-G23)/L23))</f>
        <v/>
      </c>
      <c r="N23" s="18">
        <f>IF(M23="","",SUM($M$2:M23))</f>
        <v/>
      </c>
      <c r="O23" s="19" t="n"/>
      <c r="P23" s="15" t="n"/>
      <c r="Q23" s="15" t="n"/>
      <c r="R23" s="15" t="n"/>
      <c r="S23">
        <f>IF(N23="","",MAX(0,MAX($N$2:N23)))</f>
        <v/>
      </c>
      <c r="T23">
        <f>IF(N23="","",S23-N23)</f>
        <v/>
      </c>
      <c r="U23">
        <f>IF(M23="","",IF(M23&lt;0,IF(U22="",1,U22+1),0))</f>
        <v/>
      </c>
    </row>
    <row r="24">
      <c r="A24" s="6">
        <f>IF(B24="","",ROW()-1)</f>
        <v/>
      </c>
      <c r="B24" s="15" t="n"/>
      <c r="C24" s="15" t="n"/>
      <c r="D24" s="15" t="n"/>
      <c r="E24" s="15" t="n"/>
      <c r="F24" s="15" t="n"/>
      <c r="G24" s="16" t="n"/>
      <c r="H24" s="16" t="n"/>
      <c r="I24" s="16" t="n"/>
      <c r="J24" s="15" t="n"/>
      <c r="K24" s="16" t="n"/>
      <c r="L24" s="17">
        <f>IF(OR(G24="",H24=""),"",ABS(G24-H24))</f>
        <v/>
      </c>
      <c r="M24" s="18">
        <f>IF(OR(K24="",L24="",L24=0),"",IF(D24="Short",(G24-K24)/L24,(K24-G24)/L24))</f>
        <v/>
      </c>
      <c r="N24" s="18">
        <f>IF(M24="","",SUM($M$2:M24))</f>
        <v/>
      </c>
      <c r="O24" s="19" t="n"/>
      <c r="P24" s="15" t="n"/>
      <c r="Q24" s="15" t="n"/>
      <c r="R24" s="15" t="n"/>
      <c r="S24">
        <f>IF(N24="","",MAX(0,MAX($N$2:N24)))</f>
        <v/>
      </c>
      <c r="T24">
        <f>IF(N24="","",S24-N24)</f>
        <v/>
      </c>
      <c r="U24">
        <f>IF(M24="","",IF(M24&lt;0,IF(U23="",1,U23+1),0))</f>
        <v/>
      </c>
    </row>
    <row r="25">
      <c r="A25" s="6">
        <f>IF(B25="","",ROW()-1)</f>
        <v/>
      </c>
      <c r="B25" s="15" t="n"/>
      <c r="C25" s="15" t="n"/>
      <c r="D25" s="15" t="n"/>
      <c r="E25" s="15" t="n"/>
      <c r="F25" s="15" t="n"/>
      <c r="G25" s="16" t="n"/>
      <c r="H25" s="16" t="n"/>
      <c r="I25" s="16" t="n"/>
      <c r="J25" s="15" t="n"/>
      <c r="K25" s="16" t="n"/>
      <c r="L25" s="17">
        <f>IF(OR(G25="",H25=""),"",ABS(G25-H25))</f>
        <v/>
      </c>
      <c r="M25" s="18">
        <f>IF(OR(K25="",L25="",L25=0),"",IF(D25="Short",(G25-K25)/L25,(K25-G25)/L25))</f>
        <v/>
      </c>
      <c r="N25" s="18">
        <f>IF(M25="","",SUM($M$2:M25))</f>
        <v/>
      </c>
      <c r="O25" s="19" t="n"/>
      <c r="P25" s="15" t="n"/>
      <c r="Q25" s="15" t="n"/>
      <c r="R25" s="15" t="n"/>
      <c r="S25">
        <f>IF(N25="","",MAX(0,MAX($N$2:N25)))</f>
        <v/>
      </c>
      <c r="T25">
        <f>IF(N25="","",S25-N25)</f>
        <v/>
      </c>
      <c r="U25">
        <f>IF(M25="","",IF(M25&lt;0,IF(U24="",1,U24+1),0))</f>
        <v/>
      </c>
    </row>
    <row r="26">
      <c r="A26" s="6">
        <f>IF(B26="","",ROW()-1)</f>
        <v/>
      </c>
      <c r="B26" s="15" t="n"/>
      <c r="C26" s="15" t="n"/>
      <c r="D26" s="15" t="n"/>
      <c r="E26" s="15" t="n"/>
      <c r="F26" s="15" t="n"/>
      <c r="G26" s="16" t="n"/>
      <c r="H26" s="16" t="n"/>
      <c r="I26" s="16" t="n"/>
      <c r="J26" s="15" t="n"/>
      <c r="K26" s="16" t="n"/>
      <c r="L26" s="17">
        <f>IF(OR(G26="",H26=""),"",ABS(G26-H26))</f>
        <v/>
      </c>
      <c r="M26" s="18">
        <f>IF(OR(K26="",L26="",L26=0),"",IF(D26="Short",(G26-K26)/L26,(K26-G26)/L26))</f>
        <v/>
      </c>
      <c r="N26" s="18">
        <f>IF(M26="","",SUM($M$2:M26))</f>
        <v/>
      </c>
      <c r="O26" s="19" t="n"/>
      <c r="P26" s="15" t="n"/>
      <c r="Q26" s="15" t="n"/>
      <c r="R26" s="15" t="n"/>
      <c r="S26">
        <f>IF(N26="","",MAX(0,MAX($N$2:N26)))</f>
        <v/>
      </c>
      <c r="T26">
        <f>IF(N26="","",S26-N26)</f>
        <v/>
      </c>
      <c r="U26">
        <f>IF(M26="","",IF(M26&lt;0,IF(U25="",1,U25+1),0))</f>
        <v/>
      </c>
    </row>
    <row r="27">
      <c r="A27" s="6">
        <f>IF(B27="","",ROW()-1)</f>
        <v/>
      </c>
      <c r="B27" s="15" t="n"/>
      <c r="C27" s="15" t="n"/>
      <c r="D27" s="15" t="n"/>
      <c r="E27" s="15" t="n"/>
      <c r="F27" s="15" t="n"/>
      <c r="G27" s="16" t="n"/>
      <c r="H27" s="16" t="n"/>
      <c r="I27" s="16" t="n"/>
      <c r="J27" s="15" t="n"/>
      <c r="K27" s="16" t="n"/>
      <c r="L27" s="17">
        <f>IF(OR(G27="",H27=""),"",ABS(G27-H27))</f>
        <v/>
      </c>
      <c r="M27" s="18">
        <f>IF(OR(K27="",L27="",L27=0),"",IF(D27="Short",(G27-K27)/L27,(K27-G27)/L27))</f>
        <v/>
      </c>
      <c r="N27" s="18">
        <f>IF(M27="","",SUM($M$2:M27))</f>
        <v/>
      </c>
      <c r="O27" s="19" t="n"/>
      <c r="P27" s="15" t="n"/>
      <c r="Q27" s="15" t="n"/>
      <c r="R27" s="15" t="n"/>
      <c r="S27">
        <f>IF(N27="","",MAX(0,MAX($N$2:N27)))</f>
        <v/>
      </c>
      <c r="T27">
        <f>IF(N27="","",S27-N27)</f>
        <v/>
      </c>
      <c r="U27">
        <f>IF(M27="","",IF(M27&lt;0,IF(U26="",1,U26+1),0))</f>
        <v/>
      </c>
    </row>
    <row r="28">
      <c r="A28" s="6">
        <f>IF(B28="","",ROW()-1)</f>
        <v/>
      </c>
      <c r="B28" s="15" t="n"/>
      <c r="C28" s="15" t="n"/>
      <c r="D28" s="15" t="n"/>
      <c r="E28" s="15" t="n"/>
      <c r="F28" s="15" t="n"/>
      <c r="G28" s="16" t="n"/>
      <c r="H28" s="16" t="n"/>
      <c r="I28" s="16" t="n"/>
      <c r="J28" s="15" t="n"/>
      <c r="K28" s="16" t="n"/>
      <c r="L28" s="17">
        <f>IF(OR(G28="",H28=""),"",ABS(G28-H28))</f>
        <v/>
      </c>
      <c r="M28" s="18">
        <f>IF(OR(K28="",L28="",L28=0),"",IF(D28="Short",(G28-K28)/L28,(K28-G28)/L28))</f>
        <v/>
      </c>
      <c r="N28" s="18">
        <f>IF(M28="","",SUM($M$2:M28))</f>
        <v/>
      </c>
      <c r="O28" s="19" t="n"/>
      <c r="P28" s="15" t="n"/>
      <c r="Q28" s="15" t="n"/>
      <c r="R28" s="15" t="n"/>
      <c r="S28">
        <f>IF(N28="","",MAX(0,MAX($N$2:N28)))</f>
        <v/>
      </c>
      <c r="T28">
        <f>IF(N28="","",S28-N28)</f>
        <v/>
      </c>
      <c r="U28">
        <f>IF(M28="","",IF(M28&lt;0,IF(U27="",1,U27+1),0))</f>
        <v/>
      </c>
    </row>
    <row r="29">
      <c r="A29" s="6">
        <f>IF(B29="","",ROW()-1)</f>
        <v/>
      </c>
      <c r="B29" s="15" t="n"/>
      <c r="C29" s="15" t="n"/>
      <c r="D29" s="15" t="n"/>
      <c r="E29" s="15" t="n"/>
      <c r="F29" s="15" t="n"/>
      <c r="G29" s="16" t="n"/>
      <c r="H29" s="16" t="n"/>
      <c r="I29" s="16" t="n"/>
      <c r="J29" s="15" t="n"/>
      <c r="K29" s="16" t="n"/>
      <c r="L29" s="17">
        <f>IF(OR(G29="",H29=""),"",ABS(G29-H29))</f>
        <v/>
      </c>
      <c r="M29" s="18">
        <f>IF(OR(K29="",L29="",L29=0),"",IF(D29="Short",(G29-K29)/L29,(K29-G29)/L29))</f>
        <v/>
      </c>
      <c r="N29" s="18">
        <f>IF(M29="","",SUM($M$2:M29))</f>
        <v/>
      </c>
      <c r="O29" s="19" t="n"/>
      <c r="P29" s="15" t="n"/>
      <c r="Q29" s="15" t="n"/>
      <c r="R29" s="15" t="n"/>
      <c r="S29">
        <f>IF(N29="","",MAX(0,MAX($N$2:N29)))</f>
        <v/>
      </c>
      <c r="T29">
        <f>IF(N29="","",S29-N29)</f>
        <v/>
      </c>
      <c r="U29">
        <f>IF(M29="","",IF(M29&lt;0,IF(U28="",1,U28+1),0))</f>
        <v/>
      </c>
    </row>
    <row r="30">
      <c r="A30" s="6">
        <f>IF(B30="","",ROW()-1)</f>
        <v/>
      </c>
      <c r="B30" s="15" t="n"/>
      <c r="C30" s="15" t="n"/>
      <c r="D30" s="15" t="n"/>
      <c r="E30" s="15" t="n"/>
      <c r="F30" s="15" t="n"/>
      <c r="G30" s="16" t="n"/>
      <c r="H30" s="16" t="n"/>
      <c r="I30" s="16" t="n"/>
      <c r="J30" s="15" t="n"/>
      <c r="K30" s="16" t="n"/>
      <c r="L30" s="17">
        <f>IF(OR(G30="",H30=""),"",ABS(G30-H30))</f>
        <v/>
      </c>
      <c r="M30" s="18">
        <f>IF(OR(K30="",L30="",L30=0),"",IF(D30="Short",(G30-K30)/L30,(K30-G30)/L30))</f>
        <v/>
      </c>
      <c r="N30" s="18">
        <f>IF(M30="","",SUM($M$2:M30))</f>
        <v/>
      </c>
      <c r="O30" s="19" t="n"/>
      <c r="P30" s="15" t="n"/>
      <c r="Q30" s="15" t="n"/>
      <c r="R30" s="15" t="n"/>
      <c r="S30">
        <f>IF(N30="","",MAX(0,MAX($N$2:N30)))</f>
        <v/>
      </c>
      <c r="T30">
        <f>IF(N30="","",S30-N30)</f>
        <v/>
      </c>
      <c r="U30">
        <f>IF(M30="","",IF(M30&lt;0,IF(U29="",1,U29+1),0))</f>
        <v/>
      </c>
    </row>
    <row r="31">
      <c r="A31" s="6">
        <f>IF(B31="","",ROW()-1)</f>
        <v/>
      </c>
      <c r="B31" s="15" t="n"/>
      <c r="C31" s="15" t="n"/>
      <c r="D31" s="15" t="n"/>
      <c r="E31" s="15" t="n"/>
      <c r="F31" s="15" t="n"/>
      <c r="G31" s="16" t="n"/>
      <c r="H31" s="16" t="n"/>
      <c r="I31" s="16" t="n"/>
      <c r="J31" s="15" t="n"/>
      <c r="K31" s="16" t="n"/>
      <c r="L31" s="17">
        <f>IF(OR(G31="",H31=""),"",ABS(G31-H31))</f>
        <v/>
      </c>
      <c r="M31" s="18">
        <f>IF(OR(K31="",L31="",L31=0),"",IF(D31="Short",(G31-K31)/L31,(K31-G31)/L31))</f>
        <v/>
      </c>
      <c r="N31" s="18">
        <f>IF(M31="","",SUM($M$2:M31))</f>
        <v/>
      </c>
      <c r="O31" s="19" t="n"/>
      <c r="P31" s="15" t="n"/>
      <c r="Q31" s="15" t="n"/>
      <c r="R31" s="15" t="n"/>
      <c r="S31">
        <f>IF(N31="","",MAX(0,MAX($N$2:N31)))</f>
        <v/>
      </c>
      <c r="T31">
        <f>IF(N31="","",S31-N31)</f>
        <v/>
      </c>
      <c r="U31">
        <f>IF(M31="","",IF(M31&lt;0,IF(U30="",1,U30+1),0))</f>
        <v/>
      </c>
    </row>
    <row r="32">
      <c r="A32" s="6">
        <f>IF(B32="","",ROW()-1)</f>
        <v/>
      </c>
      <c r="B32" s="15" t="n"/>
      <c r="C32" s="15" t="n"/>
      <c r="D32" s="15" t="n"/>
      <c r="E32" s="15" t="n"/>
      <c r="F32" s="15" t="n"/>
      <c r="G32" s="16" t="n"/>
      <c r="H32" s="16" t="n"/>
      <c r="I32" s="16" t="n"/>
      <c r="J32" s="15" t="n"/>
      <c r="K32" s="16" t="n"/>
      <c r="L32" s="17">
        <f>IF(OR(G32="",H32=""),"",ABS(G32-H32))</f>
        <v/>
      </c>
      <c r="M32" s="18">
        <f>IF(OR(K32="",L32="",L32=0),"",IF(D32="Short",(G32-K32)/L32,(K32-G32)/L32))</f>
        <v/>
      </c>
      <c r="N32" s="18">
        <f>IF(M32="","",SUM($M$2:M32))</f>
        <v/>
      </c>
      <c r="O32" s="19" t="n"/>
      <c r="P32" s="15" t="n"/>
      <c r="Q32" s="15" t="n"/>
      <c r="R32" s="15" t="n"/>
      <c r="S32">
        <f>IF(N32="","",MAX(0,MAX($N$2:N32)))</f>
        <v/>
      </c>
      <c r="T32">
        <f>IF(N32="","",S32-N32)</f>
        <v/>
      </c>
      <c r="U32">
        <f>IF(M32="","",IF(M32&lt;0,IF(U31="",1,U31+1),0))</f>
        <v/>
      </c>
    </row>
    <row r="33">
      <c r="A33" s="6">
        <f>IF(B33="","",ROW()-1)</f>
        <v/>
      </c>
      <c r="B33" s="15" t="n"/>
      <c r="C33" s="15" t="n"/>
      <c r="D33" s="15" t="n"/>
      <c r="E33" s="15" t="n"/>
      <c r="F33" s="15" t="n"/>
      <c r="G33" s="16" t="n"/>
      <c r="H33" s="16" t="n"/>
      <c r="I33" s="16" t="n"/>
      <c r="J33" s="15" t="n"/>
      <c r="K33" s="16" t="n"/>
      <c r="L33" s="17">
        <f>IF(OR(G33="",H33=""),"",ABS(G33-H33))</f>
        <v/>
      </c>
      <c r="M33" s="18">
        <f>IF(OR(K33="",L33="",L33=0),"",IF(D33="Short",(G33-K33)/L33,(K33-G33)/L33))</f>
        <v/>
      </c>
      <c r="N33" s="18">
        <f>IF(M33="","",SUM($M$2:M33))</f>
        <v/>
      </c>
      <c r="O33" s="19" t="n"/>
      <c r="P33" s="15" t="n"/>
      <c r="Q33" s="15" t="n"/>
      <c r="R33" s="15" t="n"/>
      <c r="S33">
        <f>IF(N33="","",MAX(0,MAX($N$2:N33)))</f>
        <v/>
      </c>
      <c r="T33">
        <f>IF(N33="","",S33-N33)</f>
        <v/>
      </c>
      <c r="U33">
        <f>IF(M33="","",IF(M33&lt;0,IF(U32="",1,U32+1),0))</f>
        <v/>
      </c>
    </row>
    <row r="34">
      <c r="A34" s="6">
        <f>IF(B34="","",ROW()-1)</f>
        <v/>
      </c>
      <c r="B34" s="15" t="n"/>
      <c r="C34" s="15" t="n"/>
      <c r="D34" s="15" t="n"/>
      <c r="E34" s="15" t="n"/>
      <c r="F34" s="15" t="n"/>
      <c r="G34" s="16" t="n"/>
      <c r="H34" s="16" t="n"/>
      <c r="I34" s="16" t="n"/>
      <c r="J34" s="15" t="n"/>
      <c r="K34" s="16" t="n"/>
      <c r="L34" s="17">
        <f>IF(OR(G34="",H34=""),"",ABS(G34-H34))</f>
        <v/>
      </c>
      <c r="M34" s="18">
        <f>IF(OR(K34="",L34="",L34=0),"",IF(D34="Short",(G34-K34)/L34,(K34-G34)/L34))</f>
        <v/>
      </c>
      <c r="N34" s="18">
        <f>IF(M34="","",SUM($M$2:M34))</f>
        <v/>
      </c>
      <c r="O34" s="19" t="n"/>
      <c r="P34" s="15" t="n"/>
      <c r="Q34" s="15" t="n"/>
      <c r="R34" s="15" t="n"/>
      <c r="S34">
        <f>IF(N34="","",MAX(0,MAX($N$2:N34)))</f>
        <v/>
      </c>
      <c r="T34">
        <f>IF(N34="","",S34-N34)</f>
        <v/>
      </c>
      <c r="U34">
        <f>IF(M34="","",IF(M34&lt;0,IF(U33="",1,U33+1),0))</f>
        <v/>
      </c>
    </row>
    <row r="35">
      <c r="A35" s="6">
        <f>IF(B35="","",ROW()-1)</f>
        <v/>
      </c>
      <c r="B35" s="15" t="n"/>
      <c r="C35" s="15" t="n"/>
      <c r="D35" s="15" t="n"/>
      <c r="E35" s="15" t="n"/>
      <c r="F35" s="15" t="n"/>
      <c r="G35" s="16" t="n"/>
      <c r="H35" s="16" t="n"/>
      <c r="I35" s="16" t="n"/>
      <c r="J35" s="15" t="n"/>
      <c r="K35" s="16" t="n"/>
      <c r="L35" s="17">
        <f>IF(OR(G35="",H35=""),"",ABS(G35-H35))</f>
        <v/>
      </c>
      <c r="M35" s="18">
        <f>IF(OR(K35="",L35="",L35=0),"",IF(D35="Short",(G35-K35)/L35,(K35-G35)/L35))</f>
        <v/>
      </c>
      <c r="N35" s="18">
        <f>IF(M35="","",SUM($M$2:M35))</f>
        <v/>
      </c>
      <c r="O35" s="19" t="n"/>
      <c r="P35" s="15" t="n"/>
      <c r="Q35" s="15" t="n"/>
      <c r="R35" s="15" t="n"/>
      <c r="S35">
        <f>IF(N35="","",MAX(0,MAX($N$2:N35)))</f>
        <v/>
      </c>
      <c r="T35">
        <f>IF(N35="","",S35-N35)</f>
        <v/>
      </c>
      <c r="U35">
        <f>IF(M35="","",IF(M35&lt;0,IF(U34="",1,U34+1),0))</f>
        <v/>
      </c>
    </row>
    <row r="36">
      <c r="A36" s="6">
        <f>IF(B36="","",ROW()-1)</f>
        <v/>
      </c>
      <c r="B36" s="15" t="n"/>
      <c r="C36" s="15" t="n"/>
      <c r="D36" s="15" t="n"/>
      <c r="E36" s="15" t="n"/>
      <c r="F36" s="15" t="n"/>
      <c r="G36" s="16" t="n"/>
      <c r="H36" s="16" t="n"/>
      <c r="I36" s="16" t="n"/>
      <c r="J36" s="15" t="n"/>
      <c r="K36" s="16" t="n"/>
      <c r="L36" s="17">
        <f>IF(OR(G36="",H36=""),"",ABS(G36-H36))</f>
        <v/>
      </c>
      <c r="M36" s="18">
        <f>IF(OR(K36="",L36="",L36=0),"",IF(D36="Short",(G36-K36)/L36,(K36-G36)/L36))</f>
        <v/>
      </c>
      <c r="N36" s="18">
        <f>IF(M36="","",SUM($M$2:M36))</f>
        <v/>
      </c>
      <c r="O36" s="19" t="n"/>
      <c r="P36" s="15" t="n"/>
      <c r="Q36" s="15" t="n"/>
      <c r="R36" s="15" t="n"/>
      <c r="S36">
        <f>IF(N36="","",MAX(0,MAX($N$2:N36)))</f>
        <v/>
      </c>
      <c r="T36">
        <f>IF(N36="","",S36-N36)</f>
        <v/>
      </c>
      <c r="U36">
        <f>IF(M36="","",IF(M36&lt;0,IF(U35="",1,U35+1),0))</f>
        <v/>
      </c>
    </row>
    <row r="37">
      <c r="A37" s="6">
        <f>IF(B37="","",ROW()-1)</f>
        <v/>
      </c>
      <c r="B37" s="15" t="n"/>
      <c r="C37" s="15" t="n"/>
      <c r="D37" s="15" t="n"/>
      <c r="E37" s="15" t="n"/>
      <c r="F37" s="15" t="n"/>
      <c r="G37" s="16" t="n"/>
      <c r="H37" s="16" t="n"/>
      <c r="I37" s="16" t="n"/>
      <c r="J37" s="15" t="n"/>
      <c r="K37" s="16" t="n"/>
      <c r="L37" s="17">
        <f>IF(OR(G37="",H37=""),"",ABS(G37-H37))</f>
        <v/>
      </c>
      <c r="M37" s="18">
        <f>IF(OR(K37="",L37="",L37=0),"",IF(D37="Short",(G37-K37)/L37,(K37-G37)/L37))</f>
        <v/>
      </c>
      <c r="N37" s="18">
        <f>IF(M37="","",SUM($M$2:M37))</f>
        <v/>
      </c>
      <c r="O37" s="19" t="n"/>
      <c r="P37" s="15" t="n"/>
      <c r="Q37" s="15" t="n"/>
      <c r="R37" s="15" t="n"/>
      <c r="S37">
        <f>IF(N37="","",MAX(0,MAX($N$2:N37)))</f>
        <v/>
      </c>
      <c r="T37">
        <f>IF(N37="","",S37-N37)</f>
        <v/>
      </c>
      <c r="U37">
        <f>IF(M37="","",IF(M37&lt;0,IF(U36="",1,U36+1),0))</f>
        <v/>
      </c>
    </row>
    <row r="38">
      <c r="A38" s="6">
        <f>IF(B38="","",ROW()-1)</f>
        <v/>
      </c>
      <c r="B38" s="15" t="n"/>
      <c r="C38" s="15" t="n"/>
      <c r="D38" s="15" t="n"/>
      <c r="E38" s="15" t="n"/>
      <c r="F38" s="15" t="n"/>
      <c r="G38" s="16" t="n"/>
      <c r="H38" s="16" t="n"/>
      <c r="I38" s="16" t="n"/>
      <c r="J38" s="15" t="n"/>
      <c r="K38" s="16" t="n"/>
      <c r="L38" s="17">
        <f>IF(OR(G38="",H38=""),"",ABS(G38-H38))</f>
        <v/>
      </c>
      <c r="M38" s="18">
        <f>IF(OR(K38="",L38="",L38=0),"",IF(D38="Short",(G38-K38)/L38,(K38-G38)/L38))</f>
        <v/>
      </c>
      <c r="N38" s="18">
        <f>IF(M38="","",SUM($M$2:M38))</f>
        <v/>
      </c>
      <c r="O38" s="19" t="n"/>
      <c r="P38" s="15" t="n"/>
      <c r="Q38" s="15" t="n"/>
      <c r="R38" s="15" t="n"/>
      <c r="S38">
        <f>IF(N38="","",MAX(0,MAX($N$2:N38)))</f>
        <v/>
      </c>
      <c r="T38">
        <f>IF(N38="","",S38-N38)</f>
        <v/>
      </c>
      <c r="U38">
        <f>IF(M38="","",IF(M38&lt;0,IF(U37="",1,U37+1),0))</f>
        <v/>
      </c>
    </row>
    <row r="39">
      <c r="A39" s="6">
        <f>IF(B39="","",ROW()-1)</f>
        <v/>
      </c>
      <c r="B39" s="15" t="n"/>
      <c r="C39" s="15" t="n"/>
      <c r="D39" s="15" t="n"/>
      <c r="E39" s="15" t="n"/>
      <c r="F39" s="15" t="n"/>
      <c r="G39" s="16" t="n"/>
      <c r="H39" s="16" t="n"/>
      <c r="I39" s="16" t="n"/>
      <c r="J39" s="15" t="n"/>
      <c r="K39" s="16" t="n"/>
      <c r="L39" s="17">
        <f>IF(OR(G39="",H39=""),"",ABS(G39-H39))</f>
        <v/>
      </c>
      <c r="M39" s="18">
        <f>IF(OR(K39="",L39="",L39=0),"",IF(D39="Short",(G39-K39)/L39,(K39-G39)/L39))</f>
        <v/>
      </c>
      <c r="N39" s="18">
        <f>IF(M39="","",SUM($M$2:M39))</f>
        <v/>
      </c>
      <c r="O39" s="19" t="n"/>
      <c r="P39" s="15" t="n"/>
      <c r="Q39" s="15" t="n"/>
      <c r="R39" s="15" t="n"/>
      <c r="S39">
        <f>IF(N39="","",MAX(0,MAX($N$2:N39)))</f>
        <v/>
      </c>
      <c r="T39">
        <f>IF(N39="","",S39-N39)</f>
        <v/>
      </c>
      <c r="U39">
        <f>IF(M39="","",IF(M39&lt;0,IF(U38="",1,U38+1),0))</f>
        <v/>
      </c>
    </row>
    <row r="40">
      <c r="A40" s="6">
        <f>IF(B40="","",ROW()-1)</f>
        <v/>
      </c>
      <c r="B40" s="15" t="n"/>
      <c r="C40" s="15" t="n"/>
      <c r="D40" s="15" t="n"/>
      <c r="E40" s="15" t="n"/>
      <c r="F40" s="15" t="n"/>
      <c r="G40" s="16" t="n"/>
      <c r="H40" s="16" t="n"/>
      <c r="I40" s="16" t="n"/>
      <c r="J40" s="15" t="n"/>
      <c r="K40" s="16" t="n"/>
      <c r="L40" s="17">
        <f>IF(OR(G40="",H40=""),"",ABS(G40-H40))</f>
        <v/>
      </c>
      <c r="M40" s="18">
        <f>IF(OR(K40="",L40="",L40=0),"",IF(D40="Short",(G40-K40)/L40,(K40-G40)/L40))</f>
        <v/>
      </c>
      <c r="N40" s="18">
        <f>IF(M40="","",SUM($M$2:M40))</f>
        <v/>
      </c>
      <c r="O40" s="19" t="n"/>
      <c r="P40" s="15" t="n"/>
      <c r="Q40" s="15" t="n"/>
      <c r="R40" s="15" t="n"/>
      <c r="S40">
        <f>IF(N40="","",MAX(0,MAX($N$2:N40)))</f>
        <v/>
      </c>
      <c r="T40">
        <f>IF(N40="","",S40-N40)</f>
        <v/>
      </c>
      <c r="U40">
        <f>IF(M40="","",IF(M40&lt;0,IF(U39="",1,U39+1),0))</f>
        <v/>
      </c>
    </row>
    <row r="41">
      <c r="A41" s="6">
        <f>IF(B41="","",ROW()-1)</f>
        <v/>
      </c>
      <c r="B41" s="15" t="n"/>
      <c r="C41" s="15" t="n"/>
      <c r="D41" s="15" t="n"/>
      <c r="E41" s="15" t="n"/>
      <c r="F41" s="15" t="n"/>
      <c r="G41" s="16" t="n"/>
      <c r="H41" s="16" t="n"/>
      <c r="I41" s="16" t="n"/>
      <c r="J41" s="15" t="n"/>
      <c r="K41" s="16" t="n"/>
      <c r="L41" s="17">
        <f>IF(OR(G41="",H41=""),"",ABS(G41-H41))</f>
        <v/>
      </c>
      <c r="M41" s="18">
        <f>IF(OR(K41="",L41="",L41=0),"",IF(D41="Short",(G41-K41)/L41,(K41-G41)/L41))</f>
        <v/>
      </c>
      <c r="N41" s="18">
        <f>IF(M41="","",SUM($M$2:M41))</f>
        <v/>
      </c>
      <c r="O41" s="19" t="n"/>
      <c r="P41" s="15" t="n"/>
      <c r="Q41" s="15" t="n"/>
      <c r="R41" s="15" t="n"/>
      <c r="S41">
        <f>IF(N41="","",MAX(0,MAX($N$2:N41)))</f>
        <v/>
      </c>
      <c r="T41">
        <f>IF(N41="","",S41-N41)</f>
        <v/>
      </c>
      <c r="U41">
        <f>IF(M41="","",IF(M41&lt;0,IF(U40="",1,U40+1),0))</f>
        <v/>
      </c>
    </row>
    <row r="42">
      <c r="A42" s="6">
        <f>IF(B42="","",ROW()-1)</f>
        <v/>
      </c>
      <c r="B42" s="15" t="n"/>
      <c r="C42" s="15" t="n"/>
      <c r="D42" s="15" t="n"/>
      <c r="E42" s="15" t="n"/>
      <c r="F42" s="15" t="n"/>
      <c r="G42" s="16" t="n"/>
      <c r="H42" s="16" t="n"/>
      <c r="I42" s="16" t="n"/>
      <c r="J42" s="15" t="n"/>
      <c r="K42" s="16" t="n"/>
      <c r="L42" s="17">
        <f>IF(OR(G42="",H42=""),"",ABS(G42-H42))</f>
        <v/>
      </c>
      <c r="M42" s="18">
        <f>IF(OR(K42="",L42="",L42=0),"",IF(D42="Short",(G42-K42)/L42,(K42-G42)/L42))</f>
        <v/>
      </c>
      <c r="N42" s="18">
        <f>IF(M42="","",SUM($M$2:M42))</f>
        <v/>
      </c>
      <c r="O42" s="19" t="n"/>
      <c r="P42" s="15" t="n"/>
      <c r="Q42" s="15" t="n"/>
      <c r="R42" s="15" t="n"/>
      <c r="S42">
        <f>IF(N42="","",MAX(0,MAX($N$2:N42)))</f>
        <v/>
      </c>
      <c r="T42">
        <f>IF(N42="","",S42-N42)</f>
        <v/>
      </c>
      <c r="U42">
        <f>IF(M42="","",IF(M42&lt;0,IF(U41="",1,U41+1),0))</f>
        <v/>
      </c>
    </row>
    <row r="43">
      <c r="A43" s="6">
        <f>IF(B43="","",ROW()-1)</f>
        <v/>
      </c>
      <c r="B43" s="15" t="n"/>
      <c r="C43" s="15" t="n"/>
      <c r="D43" s="15" t="n"/>
      <c r="E43" s="15" t="n"/>
      <c r="F43" s="15" t="n"/>
      <c r="G43" s="16" t="n"/>
      <c r="H43" s="16" t="n"/>
      <c r="I43" s="16" t="n"/>
      <c r="J43" s="15" t="n"/>
      <c r="K43" s="16" t="n"/>
      <c r="L43" s="17">
        <f>IF(OR(G43="",H43=""),"",ABS(G43-H43))</f>
        <v/>
      </c>
      <c r="M43" s="18">
        <f>IF(OR(K43="",L43="",L43=0),"",IF(D43="Short",(G43-K43)/L43,(K43-G43)/L43))</f>
        <v/>
      </c>
      <c r="N43" s="18">
        <f>IF(M43="","",SUM($M$2:M43))</f>
        <v/>
      </c>
      <c r="O43" s="19" t="n"/>
      <c r="P43" s="15" t="n"/>
      <c r="Q43" s="15" t="n"/>
      <c r="R43" s="15" t="n"/>
      <c r="S43">
        <f>IF(N43="","",MAX(0,MAX($N$2:N43)))</f>
        <v/>
      </c>
      <c r="T43">
        <f>IF(N43="","",S43-N43)</f>
        <v/>
      </c>
      <c r="U43">
        <f>IF(M43="","",IF(M43&lt;0,IF(U42="",1,U42+1),0))</f>
        <v/>
      </c>
    </row>
    <row r="44">
      <c r="A44" s="6">
        <f>IF(B44="","",ROW()-1)</f>
        <v/>
      </c>
      <c r="B44" s="15" t="n"/>
      <c r="C44" s="15" t="n"/>
      <c r="D44" s="15" t="n"/>
      <c r="E44" s="15" t="n"/>
      <c r="F44" s="15" t="n"/>
      <c r="G44" s="16" t="n"/>
      <c r="H44" s="16" t="n"/>
      <c r="I44" s="16" t="n"/>
      <c r="J44" s="15" t="n"/>
      <c r="K44" s="16" t="n"/>
      <c r="L44" s="17">
        <f>IF(OR(G44="",H44=""),"",ABS(G44-H44))</f>
        <v/>
      </c>
      <c r="M44" s="18">
        <f>IF(OR(K44="",L44="",L44=0),"",IF(D44="Short",(G44-K44)/L44,(K44-G44)/L44))</f>
        <v/>
      </c>
      <c r="N44" s="18">
        <f>IF(M44="","",SUM($M$2:M44))</f>
        <v/>
      </c>
      <c r="O44" s="19" t="n"/>
      <c r="P44" s="15" t="n"/>
      <c r="Q44" s="15" t="n"/>
      <c r="R44" s="15" t="n"/>
      <c r="S44">
        <f>IF(N44="","",MAX(0,MAX($N$2:N44)))</f>
        <v/>
      </c>
      <c r="T44">
        <f>IF(N44="","",S44-N44)</f>
        <v/>
      </c>
      <c r="U44">
        <f>IF(M44="","",IF(M44&lt;0,IF(U43="",1,U43+1),0))</f>
        <v/>
      </c>
    </row>
    <row r="45">
      <c r="A45" s="6">
        <f>IF(B45="","",ROW()-1)</f>
        <v/>
      </c>
      <c r="B45" s="15" t="n"/>
      <c r="C45" s="15" t="n"/>
      <c r="D45" s="15" t="n"/>
      <c r="E45" s="15" t="n"/>
      <c r="F45" s="15" t="n"/>
      <c r="G45" s="16" t="n"/>
      <c r="H45" s="16" t="n"/>
      <c r="I45" s="16" t="n"/>
      <c r="J45" s="15" t="n"/>
      <c r="K45" s="16" t="n"/>
      <c r="L45" s="17">
        <f>IF(OR(G45="",H45=""),"",ABS(G45-H45))</f>
        <v/>
      </c>
      <c r="M45" s="18">
        <f>IF(OR(K45="",L45="",L45=0),"",IF(D45="Short",(G45-K45)/L45,(K45-G45)/L45))</f>
        <v/>
      </c>
      <c r="N45" s="18">
        <f>IF(M45="","",SUM($M$2:M45))</f>
        <v/>
      </c>
      <c r="O45" s="19" t="n"/>
      <c r="P45" s="15" t="n"/>
      <c r="Q45" s="15" t="n"/>
      <c r="R45" s="15" t="n"/>
      <c r="S45">
        <f>IF(N45="","",MAX(0,MAX($N$2:N45)))</f>
        <v/>
      </c>
      <c r="T45">
        <f>IF(N45="","",S45-N45)</f>
        <v/>
      </c>
      <c r="U45">
        <f>IF(M45="","",IF(M45&lt;0,IF(U44="",1,U44+1),0))</f>
        <v/>
      </c>
    </row>
    <row r="46">
      <c r="A46" s="6">
        <f>IF(B46="","",ROW()-1)</f>
        <v/>
      </c>
      <c r="B46" s="15" t="n"/>
      <c r="C46" s="15" t="n"/>
      <c r="D46" s="15" t="n"/>
      <c r="E46" s="15" t="n"/>
      <c r="F46" s="15" t="n"/>
      <c r="G46" s="16" t="n"/>
      <c r="H46" s="16" t="n"/>
      <c r="I46" s="16" t="n"/>
      <c r="J46" s="15" t="n"/>
      <c r="K46" s="16" t="n"/>
      <c r="L46" s="17">
        <f>IF(OR(G46="",H46=""),"",ABS(G46-H46))</f>
        <v/>
      </c>
      <c r="M46" s="18">
        <f>IF(OR(K46="",L46="",L46=0),"",IF(D46="Short",(G46-K46)/L46,(K46-G46)/L46))</f>
        <v/>
      </c>
      <c r="N46" s="18">
        <f>IF(M46="","",SUM($M$2:M46))</f>
        <v/>
      </c>
      <c r="O46" s="19" t="n"/>
      <c r="P46" s="15" t="n"/>
      <c r="Q46" s="15" t="n"/>
      <c r="R46" s="15" t="n"/>
      <c r="S46">
        <f>IF(N46="","",MAX(0,MAX($N$2:N46)))</f>
        <v/>
      </c>
      <c r="T46">
        <f>IF(N46="","",S46-N46)</f>
        <v/>
      </c>
      <c r="U46">
        <f>IF(M46="","",IF(M46&lt;0,IF(U45="",1,U45+1),0))</f>
        <v/>
      </c>
    </row>
    <row r="47">
      <c r="A47" s="6">
        <f>IF(B47="","",ROW()-1)</f>
        <v/>
      </c>
      <c r="B47" s="15" t="n"/>
      <c r="C47" s="15" t="n"/>
      <c r="D47" s="15" t="n"/>
      <c r="E47" s="15" t="n"/>
      <c r="F47" s="15" t="n"/>
      <c r="G47" s="16" t="n"/>
      <c r="H47" s="16" t="n"/>
      <c r="I47" s="16" t="n"/>
      <c r="J47" s="15" t="n"/>
      <c r="K47" s="16" t="n"/>
      <c r="L47" s="17">
        <f>IF(OR(G47="",H47=""),"",ABS(G47-H47))</f>
        <v/>
      </c>
      <c r="M47" s="18">
        <f>IF(OR(K47="",L47="",L47=0),"",IF(D47="Short",(G47-K47)/L47,(K47-G47)/L47))</f>
        <v/>
      </c>
      <c r="N47" s="18">
        <f>IF(M47="","",SUM($M$2:M47))</f>
        <v/>
      </c>
      <c r="O47" s="19" t="n"/>
      <c r="P47" s="15" t="n"/>
      <c r="Q47" s="15" t="n"/>
      <c r="R47" s="15" t="n"/>
      <c r="S47">
        <f>IF(N47="","",MAX(0,MAX($N$2:N47)))</f>
        <v/>
      </c>
      <c r="T47">
        <f>IF(N47="","",S47-N47)</f>
        <v/>
      </c>
      <c r="U47">
        <f>IF(M47="","",IF(M47&lt;0,IF(U46="",1,U46+1),0))</f>
        <v/>
      </c>
    </row>
    <row r="48">
      <c r="A48" s="6">
        <f>IF(B48="","",ROW()-1)</f>
        <v/>
      </c>
      <c r="B48" s="15" t="n"/>
      <c r="C48" s="15" t="n"/>
      <c r="D48" s="15" t="n"/>
      <c r="E48" s="15" t="n"/>
      <c r="F48" s="15" t="n"/>
      <c r="G48" s="16" t="n"/>
      <c r="H48" s="16" t="n"/>
      <c r="I48" s="16" t="n"/>
      <c r="J48" s="15" t="n"/>
      <c r="K48" s="16" t="n"/>
      <c r="L48" s="17">
        <f>IF(OR(G48="",H48=""),"",ABS(G48-H48))</f>
        <v/>
      </c>
      <c r="M48" s="18">
        <f>IF(OR(K48="",L48="",L48=0),"",IF(D48="Short",(G48-K48)/L48,(K48-G48)/L48))</f>
        <v/>
      </c>
      <c r="N48" s="18">
        <f>IF(M48="","",SUM($M$2:M48))</f>
        <v/>
      </c>
      <c r="O48" s="19" t="n"/>
      <c r="P48" s="15" t="n"/>
      <c r="Q48" s="15" t="n"/>
      <c r="R48" s="15" t="n"/>
      <c r="S48">
        <f>IF(N48="","",MAX(0,MAX($N$2:N48)))</f>
        <v/>
      </c>
      <c r="T48">
        <f>IF(N48="","",S48-N48)</f>
        <v/>
      </c>
      <c r="U48">
        <f>IF(M48="","",IF(M48&lt;0,IF(U47="",1,U47+1),0))</f>
        <v/>
      </c>
    </row>
    <row r="49">
      <c r="A49" s="6">
        <f>IF(B49="","",ROW()-1)</f>
        <v/>
      </c>
      <c r="B49" s="15" t="n"/>
      <c r="C49" s="15" t="n"/>
      <c r="D49" s="15" t="n"/>
      <c r="E49" s="15" t="n"/>
      <c r="F49" s="15" t="n"/>
      <c r="G49" s="16" t="n"/>
      <c r="H49" s="16" t="n"/>
      <c r="I49" s="16" t="n"/>
      <c r="J49" s="15" t="n"/>
      <c r="K49" s="16" t="n"/>
      <c r="L49" s="17">
        <f>IF(OR(G49="",H49=""),"",ABS(G49-H49))</f>
        <v/>
      </c>
      <c r="M49" s="18">
        <f>IF(OR(K49="",L49="",L49=0),"",IF(D49="Short",(G49-K49)/L49,(K49-G49)/L49))</f>
        <v/>
      </c>
      <c r="N49" s="18">
        <f>IF(M49="","",SUM($M$2:M49))</f>
        <v/>
      </c>
      <c r="O49" s="19" t="n"/>
      <c r="P49" s="15" t="n"/>
      <c r="Q49" s="15" t="n"/>
      <c r="R49" s="15" t="n"/>
      <c r="S49">
        <f>IF(N49="","",MAX(0,MAX($N$2:N49)))</f>
        <v/>
      </c>
      <c r="T49">
        <f>IF(N49="","",S49-N49)</f>
        <v/>
      </c>
      <c r="U49">
        <f>IF(M49="","",IF(M49&lt;0,IF(U48="",1,U48+1),0))</f>
        <v/>
      </c>
    </row>
    <row r="50">
      <c r="A50" s="6">
        <f>IF(B50="","",ROW()-1)</f>
        <v/>
      </c>
      <c r="B50" s="15" t="n"/>
      <c r="C50" s="15" t="n"/>
      <c r="D50" s="15" t="n"/>
      <c r="E50" s="15" t="n"/>
      <c r="F50" s="15" t="n"/>
      <c r="G50" s="16" t="n"/>
      <c r="H50" s="16" t="n"/>
      <c r="I50" s="16" t="n"/>
      <c r="J50" s="15" t="n"/>
      <c r="K50" s="16" t="n"/>
      <c r="L50" s="17">
        <f>IF(OR(G50="",H50=""),"",ABS(G50-H50))</f>
        <v/>
      </c>
      <c r="M50" s="18">
        <f>IF(OR(K50="",L50="",L50=0),"",IF(D50="Short",(G50-K50)/L50,(K50-G50)/L50))</f>
        <v/>
      </c>
      <c r="N50" s="18">
        <f>IF(M50="","",SUM($M$2:M50))</f>
        <v/>
      </c>
      <c r="O50" s="19" t="n"/>
      <c r="P50" s="15" t="n"/>
      <c r="Q50" s="15" t="n"/>
      <c r="R50" s="15" t="n"/>
      <c r="S50">
        <f>IF(N50="","",MAX(0,MAX($N$2:N50)))</f>
        <v/>
      </c>
      <c r="T50">
        <f>IF(N50="","",S50-N50)</f>
        <v/>
      </c>
      <c r="U50">
        <f>IF(M50="","",IF(M50&lt;0,IF(U49="",1,U49+1),0))</f>
        <v/>
      </c>
    </row>
    <row r="51">
      <c r="A51" s="6">
        <f>IF(B51="","",ROW()-1)</f>
        <v/>
      </c>
      <c r="B51" s="15" t="n"/>
      <c r="C51" s="15" t="n"/>
      <c r="D51" s="15" t="n"/>
      <c r="E51" s="15" t="n"/>
      <c r="F51" s="15" t="n"/>
      <c r="G51" s="16" t="n"/>
      <c r="H51" s="16" t="n"/>
      <c r="I51" s="16" t="n"/>
      <c r="J51" s="15" t="n"/>
      <c r="K51" s="16" t="n"/>
      <c r="L51" s="17">
        <f>IF(OR(G51="",H51=""),"",ABS(G51-H51))</f>
        <v/>
      </c>
      <c r="M51" s="18">
        <f>IF(OR(K51="",L51="",L51=0),"",IF(D51="Short",(G51-K51)/L51,(K51-G51)/L51))</f>
        <v/>
      </c>
      <c r="N51" s="18">
        <f>IF(M51="","",SUM($M$2:M51))</f>
        <v/>
      </c>
      <c r="O51" s="19" t="n"/>
      <c r="P51" s="15" t="n"/>
      <c r="Q51" s="15" t="n"/>
      <c r="R51" s="15" t="n"/>
      <c r="S51">
        <f>IF(N51="","",MAX(0,MAX($N$2:N51)))</f>
        <v/>
      </c>
      <c r="T51">
        <f>IF(N51="","",S51-N51)</f>
        <v/>
      </c>
      <c r="U51">
        <f>IF(M51="","",IF(M51&lt;0,IF(U50="",1,U50+1),0))</f>
        <v/>
      </c>
    </row>
    <row r="52">
      <c r="A52" s="6">
        <f>IF(B52="","",ROW()-1)</f>
        <v/>
      </c>
      <c r="B52" s="15" t="n"/>
      <c r="C52" s="15" t="n"/>
      <c r="D52" s="15" t="n"/>
      <c r="E52" s="15" t="n"/>
      <c r="F52" s="15" t="n"/>
      <c r="G52" s="16" t="n"/>
      <c r="H52" s="16" t="n"/>
      <c r="I52" s="16" t="n"/>
      <c r="J52" s="15" t="n"/>
      <c r="K52" s="16" t="n"/>
      <c r="L52" s="17">
        <f>IF(OR(G52="",H52=""),"",ABS(G52-H52))</f>
        <v/>
      </c>
      <c r="M52" s="18">
        <f>IF(OR(K52="",L52="",L52=0),"",IF(D52="Short",(G52-K52)/L52,(K52-G52)/L52))</f>
        <v/>
      </c>
      <c r="N52" s="18">
        <f>IF(M52="","",SUM($M$2:M52))</f>
        <v/>
      </c>
      <c r="O52" s="19" t="n"/>
      <c r="P52" s="15" t="n"/>
      <c r="Q52" s="15" t="n"/>
      <c r="R52" s="15" t="n"/>
      <c r="S52">
        <f>IF(N52="","",MAX(0,MAX($N$2:N52)))</f>
        <v/>
      </c>
      <c r="T52">
        <f>IF(N52="","",S52-N52)</f>
        <v/>
      </c>
      <c r="U52">
        <f>IF(M52="","",IF(M52&lt;0,IF(U51="",1,U51+1),0))</f>
        <v/>
      </c>
    </row>
    <row r="53">
      <c r="A53" s="6">
        <f>IF(B53="","",ROW()-1)</f>
        <v/>
      </c>
      <c r="B53" s="15" t="n"/>
      <c r="C53" s="15" t="n"/>
      <c r="D53" s="15" t="n"/>
      <c r="E53" s="15" t="n"/>
      <c r="F53" s="15" t="n"/>
      <c r="G53" s="16" t="n"/>
      <c r="H53" s="16" t="n"/>
      <c r="I53" s="16" t="n"/>
      <c r="J53" s="15" t="n"/>
      <c r="K53" s="16" t="n"/>
      <c r="L53" s="17">
        <f>IF(OR(G53="",H53=""),"",ABS(G53-H53))</f>
        <v/>
      </c>
      <c r="M53" s="18">
        <f>IF(OR(K53="",L53="",L53=0),"",IF(D53="Short",(G53-K53)/L53,(K53-G53)/L53))</f>
        <v/>
      </c>
      <c r="N53" s="18">
        <f>IF(M53="","",SUM($M$2:M53))</f>
        <v/>
      </c>
      <c r="O53" s="19" t="n"/>
      <c r="P53" s="15" t="n"/>
      <c r="Q53" s="15" t="n"/>
      <c r="R53" s="15" t="n"/>
      <c r="S53">
        <f>IF(N53="","",MAX(0,MAX($N$2:N53)))</f>
        <v/>
      </c>
      <c r="T53">
        <f>IF(N53="","",S53-N53)</f>
        <v/>
      </c>
      <c r="U53">
        <f>IF(M53="","",IF(M53&lt;0,IF(U52="",1,U52+1),0))</f>
        <v/>
      </c>
    </row>
    <row r="54">
      <c r="A54" s="6">
        <f>IF(B54="","",ROW()-1)</f>
        <v/>
      </c>
      <c r="B54" s="15" t="n"/>
      <c r="C54" s="15" t="n"/>
      <c r="D54" s="15" t="n"/>
      <c r="E54" s="15" t="n"/>
      <c r="F54" s="15" t="n"/>
      <c r="G54" s="16" t="n"/>
      <c r="H54" s="16" t="n"/>
      <c r="I54" s="16" t="n"/>
      <c r="J54" s="15" t="n"/>
      <c r="K54" s="16" t="n"/>
      <c r="L54" s="17">
        <f>IF(OR(G54="",H54=""),"",ABS(G54-H54))</f>
        <v/>
      </c>
      <c r="M54" s="18">
        <f>IF(OR(K54="",L54="",L54=0),"",IF(D54="Short",(G54-K54)/L54,(K54-G54)/L54))</f>
        <v/>
      </c>
      <c r="N54" s="18">
        <f>IF(M54="","",SUM($M$2:M54))</f>
        <v/>
      </c>
      <c r="O54" s="19" t="n"/>
      <c r="P54" s="15" t="n"/>
      <c r="Q54" s="15" t="n"/>
      <c r="R54" s="15" t="n"/>
      <c r="S54">
        <f>IF(N54="","",MAX(0,MAX($N$2:N54)))</f>
        <v/>
      </c>
      <c r="T54">
        <f>IF(N54="","",S54-N54)</f>
        <v/>
      </c>
      <c r="U54">
        <f>IF(M54="","",IF(M54&lt;0,IF(U53="",1,U53+1),0))</f>
        <v/>
      </c>
    </row>
    <row r="55">
      <c r="A55" s="6">
        <f>IF(B55="","",ROW()-1)</f>
        <v/>
      </c>
      <c r="B55" s="15" t="n"/>
      <c r="C55" s="15" t="n"/>
      <c r="D55" s="15" t="n"/>
      <c r="E55" s="15" t="n"/>
      <c r="F55" s="15" t="n"/>
      <c r="G55" s="16" t="n"/>
      <c r="H55" s="16" t="n"/>
      <c r="I55" s="16" t="n"/>
      <c r="J55" s="15" t="n"/>
      <c r="K55" s="16" t="n"/>
      <c r="L55" s="17">
        <f>IF(OR(G55="",H55=""),"",ABS(G55-H55))</f>
        <v/>
      </c>
      <c r="M55" s="18">
        <f>IF(OR(K55="",L55="",L55=0),"",IF(D55="Short",(G55-K55)/L55,(K55-G55)/L55))</f>
        <v/>
      </c>
      <c r="N55" s="18">
        <f>IF(M55="","",SUM($M$2:M55))</f>
        <v/>
      </c>
      <c r="O55" s="19" t="n"/>
      <c r="P55" s="15" t="n"/>
      <c r="Q55" s="15" t="n"/>
      <c r="R55" s="15" t="n"/>
      <c r="S55">
        <f>IF(N55="","",MAX(0,MAX($N$2:N55)))</f>
        <v/>
      </c>
      <c r="T55">
        <f>IF(N55="","",S55-N55)</f>
        <v/>
      </c>
      <c r="U55">
        <f>IF(M55="","",IF(M55&lt;0,IF(U54="",1,U54+1),0))</f>
        <v/>
      </c>
    </row>
    <row r="56">
      <c r="A56" s="6">
        <f>IF(B56="","",ROW()-1)</f>
        <v/>
      </c>
      <c r="B56" s="15" t="n"/>
      <c r="C56" s="15" t="n"/>
      <c r="D56" s="15" t="n"/>
      <c r="E56" s="15" t="n"/>
      <c r="F56" s="15" t="n"/>
      <c r="G56" s="16" t="n"/>
      <c r="H56" s="16" t="n"/>
      <c r="I56" s="16" t="n"/>
      <c r="J56" s="15" t="n"/>
      <c r="K56" s="16" t="n"/>
      <c r="L56" s="17">
        <f>IF(OR(G56="",H56=""),"",ABS(G56-H56))</f>
        <v/>
      </c>
      <c r="M56" s="18">
        <f>IF(OR(K56="",L56="",L56=0),"",IF(D56="Short",(G56-K56)/L56,(K56-G56)/L56))</f>
        <v/>
      </c>
      <c r="N56" s="18">
        <f>IF(M56="","",SUM($M$2:M56))</f>
        <v/>
      </c>
      <c r="O56" s="19" t="n"/>
      <c r="P56" s="15" t="n"/>
      <c r="Q56" s="15" t="n"/>
      <c r="R56" s="15" t="n"/>
      <c r="S56">
        <f>IF(N56="","",MAX(0,MAX($N$2:N56)))</f>
        <v/>
      </c>
      <c r="T56">
        <f>IF(N56="","",S56-N56)</f>
        <v/>
      </c>
      <c r="U56">
        <f>IF(M56="","",IF(M56&lt;0,IF(U55="",1,U55+1),0))</f>
        <v/>
      </c>
    </row>
    <row r="57">
      <c r="A57" s="6">
        <f>IF(B57="","",ROW()-1)</f>
        <v/>
      </c>
      <c r="B57" s="15" t="n"/>
      <c r="C57" s="15" t="n"/>
      <c r="D57" s="15" t="n"/>
      <c r="E57" s="15" t="n"/>
      <c r="F57" s="15" t="n"/>
      <c r="G57" s="16" t="n"/>
      <c r="H57" s="16" t="n"/>
      <c r="I57" s="16" t="n"/>
      <c r="J57" s="15" t="n"/>
      <c r="K57" s="16" t="n"/>
      <c r="L57" s="17">
        <f>IF(OR(G57="",H57=""),"",ABS(G57-H57))</f>
        <v/>
      </c>
      <c r="M57" s="18">
        <f>IF(OR(K57="",L57="",L57=0),"",IF(D57="Short",(G57-K57)/L57,(K57-G57)/L57))</f>
        <v/>
      </c>
      <c r="N57" s="18">
        <f>IF(M57="","",SUM($M$2:M57))</f>
        <v/>
      </c>
      <c r="O57" s="19" t="n"/>
      <c r="P57" s="15" t="n"/>
      <c r="Q57" s="15" t="n"/>
      <c r="R57" s="15" t="n"/>
      <c r="S57">
        <f>IF(N57="","",MAX(0,MAX($N$2:N57)))</f>
        <v/>
      </c>
      <c r="T57">
        <f>IF(N57="","",S57-N57)</f>
        <v/>
      </c>
      <c r="U57">
        <f>IF(M57="","",IF(M57&lt;0,IF(U56="",1,U56+1),0))</f>
        <v/>
      </c>
    </row>
    <row r="58">
      <c r="A58" s="6">
        <f>IF(B58="","",ROW()-1)</f>
        <v/>
      </c>
      <c r="B58" s="15" t="n"/>
      <c r="C58" s="15" t="n"/>
      <c r="D58" s="15" t="n"/>
      <c r="E58" s="15" t="n"/>
      <c r="F58" s="15" t="n"/>
      <c r="G58" s="16" t="n"/>
      <c r="H58" s="16" t="n"/>
      <c r="I58" s="16" t="n"/>
      <c r="J58" s="15" t="n"/>
      <c r="K58" s="16" t="n"/>
      <c r="L58" s="17">
        <f>IF(OR(G58="",H58=""),"",ABS(G58-H58))</f>
        <v/>
      </c>
      <c r="M58" s="18">
        <f>IF(OR(K58="",L58="",L58=0),"",IF(D58="Short",(G58-K58)/L58,(K58-G58)/L58))</f>
        <v/>
      </c>
      <c r="N58" s="18">
        <f>IF(M58="","",SUM($M$2:M58))</f>
        <v/>
      </c>
      <c r="O58" s="19" t="n"/>
      <c r="P58" s="15" t="n"/>
      <c r="Q58" s="15" t="n"/>
      <c r="R58" s="15" t="n"/>
      <c r="S58">
        <f>IF(N58="","",MAX(0,MAX($N$2:N58)))</f>
        <v/>
      </c>
      <c r="T58">
        <f>IF(N58="","",S58-N58)</f>
        <v/>
      </c>
      <c r="U58">
        <f>IF(M58="","",IF(M58&lt;0,IF(U57="",1,U57+1),0))</f>
        <v/>
      </c>
    </row>
    <row r="59">
      <c r="A59" s="6">
        <f>IF(B59="","",ROW()-1)</f>
        <v/>
      </c>
      <c r="B59" s="15" t="n"/>
      <c r="C59" s="15" t="n"/>
      <c r="D59" s="15" t="n"/>
      <c r="E59" s="15" t="n"/>
      <c r="F59" s="15" t="n"/>
      <c r="G59" s="16" t="n"/>
      <c r="H59" s="16" t="n"/>
      <c r="I59" s="16" t="n"/>
      <c r="J59" s="15" t="n"/>
      <c r="K59" s="16" t="n"/>
      <c r="L59" s="17">
        <f>IF(OR(G59="",H59=""),"",ABS(G59-H59))</f>
        <v/>
      </c>
      <c r="M59" s="18">
        <f>IF(OR(K59="",L59="",L59=0),"",IF(D59="Short",(G59-K59)/L59,(K59-G59)/L59))</f>
        <v/>
      </c>
      <c r="N59" s="18">
        <f>IF(M59="","",SUM($M$2:M59))</f>
        <v/>
      </c>
      <c r="O59" s="19" t="n"/>
      <c r="P59" s="15" t="n"/>
      <c r="Q59" s="15" t="n"/>
      <c r="R59" s="15" t="n"/>
      <c r="S59">
        <f>IF(N59="","",MAX(0,MAX($N$2:N59)))</f>
        <v/>
      </c>
      <c r="T59">
        <f>IF(N59="","",S59-N59)</f>
        <v/>
      </c>
      <c r="U59">
        <f>IF(M59="","",IF(M59&lt;0,IF(U58="",1,U58+1),0))</f>
        <v/>
      </c>
    </row>
    <row r="60">
      <c r="A60" s="6">
        <f>IF(B60="","",ROW()-1)</f>
        <v/>
      </c>
      <c r="B60" s="15" t="n"/>
      <c r="C60" s="15" t="n"/>
      <c r="D60" s="15" t="n"/>
      <c r="E60" s="15" t="n"/>
      <c r="F60" s="15" t="n"/>
      <c r="G60" s="16" t="n"/>
      <c r="H60" s="16" t="n"/>
      <c r="I60" s="16" t="n"/>
      <c r="J60" s="15" t="n"/>
      <c r="K60" s="16" t="n"/>
      <c r="L60" s="17">
        <f>IF(OR(G60="",H60=""),"",ABS(G60-H60))</f>
        <v/>
      </c>
      <c r="M60" s="18">
        <f>IF(OR(K60="",L60="",L60=0),"",IF(D60="Short",(G60-K60)/L60,(K60-G60)/L60))</f>
        <v/>
      </c>
      <c r="N60" s="18">
        <f>IF(M60="","",SUM($M$2:M60))</f>
        <v/>
      </c>
      <c r="O60" s="19" t="n"/>
      <c r="P60" s="15" t="n"/>
      <c r="Q60" s="15" t="n"/>
      <c r="R60" s="15" t="n"/>
      <c r="S60">
        <f>IF(N60="","",MAX(0,MAX($N$2:N60)))</f>
        <v/>
      </c>
      <c r="T60">
        <f>IF(N60="","",S60-N60)</f>
        <v/>
      </c>
      <c r="U60">
        <f>IF(M60="","",IF(M60&lt;0,IF(U59="",1,U59+1),0))</f>
        <v/>
      </c>
    </row>
    <row r="61">
      <c r="A61" s="6">
        <f>IF(B61="","",ROW()-1)</f>
        <v/>
      </c>
      <c r="B61" s="15" t="n"/>
      <c r="C61" s="15" t="n"/>
      <c r="D61" s="15" t="n"/>
      <c r="E61" s="15" t="n"/>
      <c r="F61" s="15" t="n"/>
      <c r="G61" s="16" t="n"/>
      <c r="H61" s="16" t="n"/>
      <c r="I61" s="16" t="n"/>
      <c r="J61" s="15" t="n"/>
      <c r="K61" s="16" t="n"/>
      <c r="L61" s="17">
        <f>IF(OR(G61="",H61=""),"",ABS(G61-H61))</f>
        <v/>
      </c>
      <c r="M61" s="18">
        <f>IF(OR(K61="",L61="",L61=0),"",IF(D61="Short",(G61-K61)/L61,(K61-G61)/L61))</f>
        <v/>
      </c>
      <c r="N61" s="18">
        <f>IF(M61="","",SUM($M$2:M61))</f>
        <v/>
      </c>
      <c r="O61" s="19" t="n"/>
      <c r="P61" s="15" t="n"/>
      <c r="Q61" s="15" t="n"/>
      <c r="R61" s="15" t="n"/>
      <c r="S61">
        <f>IF(N61="","",MAX(0,MAX($N$2:N61)))</f>
        <v/>
      </c>
      <c r="T61">
        <f>IF(N61="","",S61-N61)</f>
        <v/>
      </c>
      <c r="U61">
        <f>IF(M61="","",IF(M61&lt;0,IF(U60="",1,U60+1),0))</f>
        <v/>
      </c>
    </row>
    <row r="62">
      <c r="A62" s="6">
        <f>IF(B62="","",ROW()-1)</f>
        <v/>
      </c>
      <c r="B62" s="15" t="n"/>
      <c r="C62" s="15" t="n"/>
      <c r="D62" s="15" t="n"/>
      <c r="E62" s="15" t="n"/>
      <c r="F62" s="15" t="n"/>
      <c r="G62" s="16" t="n"/>
      <c r="H62" s="16" t="n"/>
      <c r="I62" s="16" t="n"/>
      <c r="J62" s="15" t="n"/>
      <c r="K62" s="16" t="n"/>
      <c r="L62" s="17">
        <f>IF(OR(G62="",H62=""),"",ABS(G62-H62))</f>
        <v/>
      </c>
      <c r="M62" s="18">
        <f>IF(OR(K62="",L62="",L62=0),"",IF(D62="Short",(G62-K62)/L62,(K62-G62)/L62))</f>
        <v/>
      </c>
      <c r="N62" s="18">
        <f>IF(M62="","",SUM($M$2:M62))</f>
        <v/>
      </c>
      <c r="O62" s="19" t="n"/>
      <c r="P62" s="15" t="n"/>
      <c r="Q62" s="15" t="n"/>
      <c r="R62" s="15" t="n"/>
      <c r="S62">
        <f>IF(N62="","",MAX(0,MAX($N$2:N62)))</f>
        <v/>
      </c>
      <c r="T62">
        <f>IF(N62="","",S62-N62)</f>
        <v/>
      </c>
      <c r="U62">
        <f>IF(M62="","",IF(M62&lt;0,IF(U61="",1,U61+1),0))</f>
        <v/>
      </c>
    </row>
    <row r="63">
      <c r="A63" s="6">
        <f>IF(B63="","",ROW()-1)</f>
        <v/>
      </c>
      <c r="B63" s="15" t="n"/>
      <c r="C63" s="15" t="n"/>
      <c r="D63" s="15" t="n"/>
      <c r="E63" s="15" t="n"/>
      <c r="F63" s="15" t="n"/>
      <c r="G63" s="16" t="n"/>
      <c r="H63" s="16" t="n"/>
      <c r="I63" s="16" t="n"/>
      <c r="J63" s="15" t="n"/>
      <c r="K63" s="16" t="n"/>
      <c r="L63" s="17">
        <f>IF(OR(G63="",H63=""),"",ABS(G63-H63))</f>
        <v/>
      </c>
      <c r="M63" s="18">
        <f>IF(OR(K63="",L63="",L63=0),"",IF(D63="Short",(G63-K63)/L63,(K63-G63)/L63))</f>
        <v/>
      </c>
      <c r="N63" s="18">
        <f>IF(M63="","",SUM($M$2:M63))</f>
        <v/>
      </c>
      <c r="O63" s="19" t="n"/>
      <c r="P63" s="15" t="n"/>
      <c r="Q63" s="15" t="n"/>
      <c r="R63" s="15" t="n"/>
      <c r="S63">
        <f>IF(N63="","",MAX(0,MAX($N$2:N63)))</f>
        <v/>
      </c>
      <c r="T63">
        <f>IF(N63="","",S63-N63)</f>
        <v/>
      </c>
      <c r="U63">
        <f>IF(M63="","",IF(M63&lt;0,IF(U62="",1,U62+1),0))</f>
        <v/>
      </c>
    </row>
    <row r="64">
      <c r="A64" s="6">
        <f>IF(B64="","",ROW()-1)</f>
        <v/>
      </c>
      <c r="B64" s="15" t="n"/>
      <c r="C64" s="15" t="n"/>
      <c r="D64" s="15" t="n"/>
      <c r="E64" s="15" t="n"/>
      <c r="F64" s="15" t="n"/>
      <c r="G64" s="16" t="n"/>
      <c r="H64" s="16" t="n"/>
      <c r="I64" s="16" t="n"/>
      <c r="J64" s="15" t="n"/>
      <c r="K64" s="16" t="n"/>
      <c r="L64" s="17">
        <f>IF(OR(G64="",H64=""),"",ABS(G64-H64))</f>
        <v/>
      </c>
      <c r="M64" s="18">
        <f>IF(OR(K64="",L64="",L64=0),"",IF(D64="Short",(G64-K64)/L64,(K64-G64)/L64))</f>
        <v/>
      </c>
      <c r="N64" s="18">
        <f>IF(M64="","",SUM($M$2:M64))</f>
        <v/>
      </c>
      <c r="O64" s="19" t="n"/>
      <c r="P64" s="15" t="n"/>
      <c r="Q64" s="15" t="n"/>
      <c r="R64" s="15" t="n"/>
      <c r="S64">
        <f>IF(N64="","",MAX(0,MAX($N$2:N64)))</f>
        <v/>
      </c>
      <c r="T64">
        <f>IF(N64="","",S64-N64)</f>
        <v/>
      </c>
      <c r="U64">
        <f>IF(M64="","",IF(M64&lt;0,IF(U63="",1,U63+1),0))</f>
        <v/>
      </c>
    </row>
    <row r="65">
      <c r="A65" s="6">
        <f>IF(B65="","",ROW()-1)</f>
        <v/>
      </c>
      <c r="B65" s="15" t="n"/>
      <c r="C65" s="15" t="n"/>
      <c r="D65" s="15" t="n"/>
      <c r="E65" s="15" t="n"/>
      <c r="F65" s="15" t="n"/>
      <c r="G65" s="16" t="n"/>
      <c r="H65" s="16" t="n"/>
      <c r="I65" s="16" t="n"/>
      <c r="J65" s="15" t="n"/>
      <c r="K65" s="16" t="n"/>
      <c r="L65" s="17">
        <f>IF(OR(G65="",H65=""),"",ABS(G65-H65))</f>
        <v/>
      </c>
      <c r="M65" s="18">
        <f>IF(OR(K65="",L65="",L65=0),"",IF(D65="Short",(G65-K65)/L65,(K65-G65)/L65))</f>
        <v/>
      </c>
      <c r="N65" s="18">
        <f>IF(M65="","",SUM($M$2:M65))</f>
        <v/>
      </c>
      <c r="O65" s="19" t="n"/>
      <c r="P65" s="15" t="n"/>
      <c r="Q65" s="15" t="n"/>
      <c r="R65" s="15" t="n"/>
      <c r="S65">
        <f>IF(N65="","",MAX(0,MAX($N$2:N65)))</f>
        <v/>
      </c>
      <c r="T65">
        <f>IF(N65="","",S65-N65)</f>
        <v/>
      </c>
      <c r="U65">
        <f>IF(M65="","",IF(M65&lt;0,IF(U64="",1,U64+1),0))</f>
        <v/>
      </c>
    </row>
    <row r="66">
      <c r="A66" s="6">
        <f>IF(B66="","",ROW()-1)</f>
        <v/>
      </c>
      <c r="B66" s="15" t="n"/>
      <c r="C66" s="15" t="n"/>
      <c r="D66" s="15" t="n"/>
      <c r="E66" s="15" t="n"/>
      <c r="F66" s="15" t="n"/>
      <c r="G66" s="16" t="n"/>
      <c r="H66" s="16" t="n"/>
      <c r="I66" s="16" t="n"/>
      <c r="J66" s="15" t="n"/>
      <c r="K66" s="16" t="n"/>
      <c r="L66" s="17">
        <f>IF(OR(G66="",H66=""),"",ABS(G66-H66))</f>
        <v/>
      </c>
      <c r="M66" s="18">
        <f>IF(OR(K66="",L66="",L66=0),"",IF(D66="Short",(G66-K66)/L66,(K66-G66)/L66))</f>
        <v/>
      </c>
      <c r="N66" s="18">
        <f>IF(M66="","",SUM($M$2:M66))</f>
        <v/>
      </c>
      <c r="O66" s="19" t="n"/>
      <c r="P66" s="15" t="n"/>
      <c r="Q66" s="15" t="n"/>
      <c r="R66" s="15" t="n"/>
      <c r="S66">
        <f>IF(N66="","",MAX(0,MAX($N$2:N66)))</f>
        <v/>
      </c>
      <c r="T66">
        <f>IF(N66="","",S66-N66)</f>
        <v/>
      </c>
      <c r="U66">
        <f>IF(M66="","",IF(M66&lt;0,IF(U65="",1,U65+1),0))</f>
        <v/>
      </c>
    </row>
    <row r="67">
      <c r="A67" s="6">
        <f>IF(B67="","",ROW()-1)</f>
        <v/>
      </c>
      <c r="B67" s="15" t="n"/>
      <c r="C67" s="15" t="n"/>
      <c r="D67" s="15" t="n"/>
      <c r="E67" s="15" t="n"/>
      <c r="F67" s="15" t="n"/>
      <c r="G67" s="16" t="n"/>
      <c r="H67" s="16" t="n"/>
      <c r="I67" s="16" t="n"/>
      <c r="J67" s="15" t="n"/>
      <c r="K67" s="16" t="n"/>
      <c r="L67" s="17">
        <f>IF(OR(G67="",H67=""),"",ABS(G67-H67))</f>
        <v/>
      </c>
      <c r="M67" s="18">
        <f>IF(OR(K67="",L67="",L67=0),"",IF(D67="Short",(G67-K67)/L67,(K67-G67)/L67))</f>
        <v/>
      </c>
      <c r="N67" s="18">
        <f>IF(M67="","",SUM($M$2:M67))</f>
        <v/>
      </c>
      <c r="O67" s="19" t="n"/>
      <c r="P67" s="15" t="n"/>
      <c r="Q67" s="15" t="n"/>
      <c r="R67" s="15" t="n"/>
      <c r="S67">
        <f>IF(N67="","",MAX(0,MAX($N$2:N67)))</f>
        <v/>
      </c>
      <c r="T67">
        <f>IF(N67="","",S67-N67)</f>
        <v/>
      </c>
      <c r="U67">
        <f>IF(M67="","",IF(M67&lt;0,IF(U66="",1,U66+1),0))</f>
        <v/>
      </c>
    </row>
    <row r="68">
      <c r="A68" s="6">
        <f>IF(B68="","",ROW()-1)</f>
        <v/>
      </c>
      <c r="B68" s="15" t="n"/>
      <c r="C68" s="15" t="n"/>
      <c r="D68" s="15" t="n"/>
      <c r="E68" s="15" t="n"/>
      <c r="F68" s="15" t="n"/>
      <c r="G68" s="16" t="n"/>
      <c r="H68" s="16" t="n"/>
      <c r="I68" s="16" t="n"/>
      <c r="J68" s="15" t="n"/>
      <c r="K68" s="16" t="n"/>
      <c r="L68" s="17">
        <f>IF(OR(G68="",H68=""),"",ABS(G68-H68))</f>
        <v/>
      </c>
      <c r="M68" s="18">
        <f>IF(OR(K68="",L68="",L68=0),"",IF(D68="Short",(G68-K68)/L68,(K68-G68)/L68))</f>
        <v/>
      </c>
      <c r="N68" s="18">
        <f>IF(M68="","",SUM($M$2:M68))</f>
        <v/>
      </c>
      <c r="O68" s="19" t="n"/>
      <c r="P68" s="15" t="n"/>
      <c r="Q68" s="15" t="n"/>
      <c r="R68" s="15" t="n"/>
      <c r="S68">
        <f>IF(N68="","",MAX(0,MAX($N$2:N68)))</f>
        <v/>
      </c>
      <c r="T68">
        <f>IF(N68="","",S68-N68)</f>
        <v/>
      </c>
      <c r="U68">
        <f>IF(M68="","",IF(M68&lt;0,IF(U67="",1,U67+1),0))</f>
        <v/>
      </c>
    </row>
    <row r="69">
      <c r="A69" s="6">
        <f>IF(B69="","",ROW()-1)</f>
        <v/>
      </c>
      <c r="B69" s="15" t="n"/>
      <c r="C69" s="15" t="n"/>
      <c r="D69" s="15" t="n"/>
      <c r="E69" s="15" t="n"/>
      <c r="F69" s="15" t="n"/>
      <c r="G69" s="16" t="n"/>
      <c r="H69" s="16" t="n"/>
      <c r="I69" s="16" t="n"/>
      <c r="J69" s="15" t="n"/>
      <c r="K69" s="16" t="n"/>
      <c r="L69" s="17">
        <f>IF(OR(G69="",H69=""),"",ABS(G69-H69))</f>
        <v/>
      </c>
      <c r="M69" s="18">
        <f>IF(OR(K69="",L69="",L69=0),"",IF(D69="Short",(G69-K69)/L69,(K69-G69)/L69))</f>
        <v/>
      </c>
      <c r="N69" s="18">
        <f>IF(M69="","",SUM($M$2:M69))</f>
        <v/>
      </c>
      <c r="O69" s="19" t="n"/>
      <c r="P69" s="15" t="n"/>
      <c r="Q69" s="15" t="n"/>
      <c r="R69" s="15" t="n"/>
      <c r="S69">
        <f>IF(N69="","",MAX(0,MAX($N$2:N69)))</f>
        <v/>
      </c>
      <c r="T69">
        <f>IF(N69="","",S69-N69)</f>
        <v/>
      </c>
      <c r="U69">
        <f>IF(M69="","",IF(M69&lt;0,IF(U68="",1,U68+1),0))</f>
        <v/>
      </c>
    </row>
    <row r="70">
      <c r="A70" s="6">
        <f>IF(B70="","",ROW()-1)</f>
        <v/>
      </c>
      <c r="B70" s="15" t="n"/>
      <c r="C70" s="15" t="n"/>
      <c r="D70" s="15" t="n"/>
      <c r="E70" s="15" t="n"/>
      <c r="F70" s="15" t="n"/>
      <c r="G70" s="16" t="n"/>
      <c r="H70" s="16" t="n"/>
      <c r="I70" s="16" t="n"/>
      <c r="J70" s="15" t="n"/>
      <c r="K70" s="16" t="n"/>
      <c r="L70" s="17">
        <f>IF(OR(G70="",H70=""),"",ABS(G70-H70))</f>
        <v/>
      </c>
      <c r="M70" s="18">
        <f>IF(OR(K70="",L70="",L70=0),"",IF(D70="Short",(G70-K70)/L70,(K70-G70)/L70))</f>
        <v/>
      </c>
      <c r="N70" s="18">
        <f>IF(M70="","",SUM($M$2:M70))</f>
        <v/>
      </c>
      <c r="O70" s="19" t="n"/>
      <c r="P70" s="15" t="n"/>
      <c r="Q70" s="15" t="n"/>
      <c r="R70" s="15" t="n"/>
      <c r="S70">
        <f>IF(N70="","",MAX(0,MAX($N$2:N70)))</f>
        <v/>
      </c>
      <c r="T70">
        <f>IF(N70="","",S70-N70)</f>
        <v/>
      </c>
      <c r="U70">
        <f>IF(M70="","",IF(M70&lt;0,IF(U69="",1,U69+1),0))</f>
        <v/>
      </c>
    </row>
    <row r="71">
      <c r="A71" s="6">
        <f>IF(B71="","",ROW()-1)</f>
        <v/>
      </c>
      <c r="B71" s="15" t="n"/>
      <c r="C71" s="15" t="n"/>
      <c r="D71" s="15" t="n"/>
      <c r="E71" s="15" t="n"/>
      <c r="F71" s="15" t="n"/>
      <c r="G71" s="16" t="n"/>
      <c r="H71" s="16" t="n"/>
      <c r="I71" s="16" t="n"/>
      <c r="J71" s="15" t="n"/>
      <c r="K71" s="16" t="n"/>
      <c r="L71" s="17">
        <f>IF(OR(G71="",H71=""),"",ABS(G71-H71))</f>
        <v/>
      </c>
      <c r="M71" s="18">
        <f>IF(OR(K71="",L71="",L71=0),"",IF(D71="Short",(G71-K71)/L71,(K71-G71)/L71))</f>
        <v/>
      </c>
      <c r="N71" s="18">
        <f>IF(M71="","",SUM($M$2:M71))</f>
        <v/>
      </c>
      <c r="O71" s="19" t="n"/>
      <c r="P71" s="15" t="n"/>
      <c r="Q71" s="15" t="n"/>
      <c r="R71" s="15" t="n"/>
      <c r="S71">
        <f>IF(N71="","",MAX(0,MAX($N$2:N71)))</f>
        <v/>
      </c>
      <c r="T71">
        <f>IF(N71="","",S71-N71)</f>
        <v/>
      </c>
      <c r="U71">
        <f>IF(M71="","",IF(M71&lt;0,IF(U70="",1,U70+1),0))</f>
        <v/>
      </c>
    </row>
    <row r="72">
      <c r="A72" s="6">
        <f>IF(B72="","",ROW()-1)</f>
        <v/>
      </c>
      <c r="B72" s="15" t="n"/>
      <c r="C72" s="15" t="n"/>
      <c r="D72" s="15" t="n"/>
      <c r="E72" s="15" t="n"/>
      <c r="F72" s="15" t="n"/>
      <c r="G72" s="16" t="n"/>
      <c r="H72" s="16" t="n"/>
      <c r="I72" s="16" t="n"/>
      <c r="J72" s="15" t="n"/>
      <c r="K72" s="16" t="n"/>
      <c r="L72" s="17">
        <f>IF(OR(G72="",H72=""),"",ABS(G72-H72))</f>
        <v/>
      </c>
      <c r="M72" s="18">
        <f>IF(OR(K72="",L72="",L72=0),"",IF(D72="Short",(G72-K72)/L72,(K72-G72)/L72))</f>
        <v/>
      </c>
      <c r="N72" s="18">
        <f>IF(M72="","",SUM($M$2:M72))</f>
        <v/>
      </c>
      <c r="O72" s="19" t="n"/>
      <c r="P72" s="15" t="n"/>
      <c r="Q72" s="15" t="n"/>
      <c r="R72" s="15" t="n"/>
      <c r="S72">
        <f>IF(N72="","",MAX(0,MAX($N$2:N72)))</f>
        <v/>
      </c>
      <c r="T72">
        <f>IF(N72="","",S72-N72)</f>
        <v/>
      </c>
      <c r="U72">
        <f>IF(M72="","",IF(M72&lt;0,IF(U71="",1,U71+1),0))</f>
        <v/>
      </c>
    </row>
    <row r="73">
      <c r="A73" s="6">
        <f>IF(B73="","",ROW()-1)</f>
        <v/>
      </c>
      <c r="B73" s="15" t="n"/>
      <c r="C73" s="15" t="n"/>
      <c r="D73" s="15" t="n"/>
      <c r="E73" s="15" t="n"/>
      <c r="F73" s="15" t="n"/>
      <c r="G73" s="16" t="n"/>
      <c r="H73" s="16" t="n"/>
      <c r="I73" s="16" t="n"/>
      <c r="J73" s="15" t="n"/>
      <c r="K73" s="16" t="n"/>
      <c r="L73" s="17">
        <f>IF(OR(G73="",H73=""),"",ABS(G73-H73))</f>
        <v/>
      </c>
      <c r="M73" s="18">
        <f>IF(OR(K73="",L73="",L73=0),"",IF(D73="Short",(G73-K73)/L73,(K73-G73)/L73))</f>
        <v/>
      </c>
      <c r="N73" s="18">
        <f>IF(M73="","",SUM($M$2:M73))</f>
        <v/>
      </c>
      <c r="O73" s="19" t="n"/>
      <c r="P73" s="15" t="n"/>
      <c r="Q73" s="15" t="n"/>
      <c r="R73" s="15" t="n"/>
      <c r="S73">
        <f>IF(N73="","",MAX(0,MAX($N$2:N73)))</f>
        <v/>
      </c>
      <c r="T73">
        <f>IF(N73="","",S73-N73)</f>
        <v/>
      </c>
      <c r="U73">
        <f>IF(M73="","",IF(M73&lt;0,IF(U72="",1,U72+1),0))</f>
        <v/>
      </c>
    </row>
    <row r="74">
      <c r="A74" s="6">
        <f>IF(B74="","",ROW()-1)</f>
        <v/>
      </c>
      <c r="B74" s="15" t="n"/>
      <c r="C74" s="15" t="n"/>
      <c r="D74" s="15" t="n"/>
      <c r="E74" s="15" t="n"/>
      <c r="F74" s="15" t="n"/>
      <c r="G74" s="16" t="n"/>
      <c r="H74" s="16" t="n"/>
      <c r="I74" s="16" t="n"/>
      <c r="J74" s="15" t="n"/>
      <c r="K74" s="16" t="n"/>
      <c r="L74" s="17">
        <f>IF(OR(G74="",H74=""),"",ABS(G74-H74))</f>
        <v/>
      </c>
      <c r="M74" s="18">
        <f>IF(OR(K74="",L74="",L74=0),"",IF(D74="Short",(G74-K74)/L74,(K74-G74)/L74))</f>
        <v/>
      </c>
      <c r="N74" s="18">
        <f>IF(M74="","",SUM($M$2:M74))</f>
        <v/>
      </c>
      <c r="O74" s="19" t="n"/>
      <c r="P74" s="15" t="n"/>
      <c r="Q74" s="15" t="n"/>
      <c r="R74" s="15" t="n"/>
      <c r="S74">
        <f>IF(N74="","",MAX(0,MAX($N$2:N74)))</f>
        <v/>
      </c>
      <c r="T74">
        <f>IF(N74="","",S74-N74)</f>
        <v/>
      </c>
      <c r="U74">
        <f>IF(M74="","",IF(M74&lt;0,IF(U73="",1,U73+1),0))</f>
        <v/>
      </c>
    </row>
    <row r="75">
      <c r="A75" s="6">
        <f>IF(B75="","",ROW()-1)</f>
        <v/>
      </c>
      <c r="B75" s="15" t="n"/>
      <c r="C75" s="15" t="n"/>
      <c r="D75" s="15" t="n"/>
      <c r="E75" s="15" t="n"/>
      <c r="F75" s="15" t="n"/>
      <c r="G75" s="16" t="n"/>
      <c r="H75" s="16" t="n"/>
      <c r="I75" s="16" t="n"/>
      <c r="J75" s="15" t="n"/>
      <c r="K75" s="16" t="n"/>
      <c r="L75" s="17">
        <f>IF(OR(G75="",H75=""),"",ABS(G75-H75))</f>
        <v/>
      </c>
      <c r="M75" s="18">
        <f>IF(OR(K75="",L75="",L75=0),"",IF(D75="Short",(G75-K75)/L75,(K75-G75)/L75))</f>
        <v/>
      </c>
      <c r="N75" s="18">
        <f>IF(M75="","",SUM($M$2:M75))</f>
        <v/>
      </c>
      <c r="O75" s="19" t="n"/>
      <c r="P75" s="15" t="n"/>
      <c r="Q75" s="15" t="n"/>
      <c r="R75" s="15" t="n"/>
      <c r="S75">
        <f>IF(N75="","",MAX(0,MAX($N$2:N75)))</f>
        <v/>
      </c>
      <c r="T75">
        <f>IF(N75="","",S75-N75)</f>
        <v/>
      </c>
      <c r="U75">
        <f>IF(M75="","",IF(M75&lt;0,IF(U74="",1,U74+1),0))</f>
        <v/>
      </c>
    </row>
    <row r="76">
      <c r="A76" s="6">
        <f>IF(B76="","",ROW()-1)</f>
        <v/>
      </c>
      <c r="B76" s="15" t="n"/>
      <c r="C76" s="15" t="n"/>
      <c r="D76" s="15" t="n"/>
      <c r="E76" s="15" t="n"/>
      <c r="F76" s="15" t="n"/>
      <c r="G76" s="16" t="n"/>
      <c r="H76" s="16" t="n"/>
      <c r="I76" s="16" t="n"/>
      <c r="J76" s="15" t="n"/>
      <c r="K76" s="16" t="n"/>
      <c r="L76" s="17">
        <f>IF(OR(G76="",H76=""),"",ABS(G76-H76))</f>
        <v/>
      </c>
      <c r="M76" s="18">
        <f>IF(OR(K76="",L76="",L76=0),"",IF(D76="Short",(G76-K76)/L76,(K76-G76)/L76))</f>
        <v/>
      </c>
      <c r="N76" s="18">
        <f>IF(M76="","",SUM($M$2:M76))</f>
        <v/>
      </c>
      <c r="O76" s="19" t="n"/>
      <c r="P76" s="15" t="n"/>
      <c r="Q76" s="15" t="n"/>
      <c r="R76" s="15" t="n"/>
      <c r="S76">
        <f>IF(N76="","",MAX(0,MAX($N$2:N76)))</f>
        <v/>
      </c>
      <c r="T76">
        <f>IF(N76="","",S76-N76)</f>
        <v/>
      </c>
      <c r="U76">
        <f>IF(M76="","",IF(M76&lt;0,IF(U75="",1,U75+1),0))</f>
        <v/>
      </c>
    </row>
    <row r="77">
      <c r="A77" s="6">
        <f>IF(B77="","",ROW()-1)</f>
        <v/>
      </c>
      <c r="B77" s="15" t="n"/>
      <c r="C77" s="15" t="n"/>
      <c r="D77" s="15" t="n"/>
      <c r="E77" s="15" t="n"/>
      <c r="F77" s="15" t="n"/>
      <c r="G77" s="16" t="n"/>
      <c r="H77" s="16" t="n"/>
      <c r="I77" s="16" t="n"/>
      <c r="J77" s="15" t="n"/>
      <c r="K77" s="16" t="n"/>
      <c r="L77" s="17">
        <f>IF(OR(G77="",H77=""),"",ABS(G77-H77))</f>
        <v/>
      </c>
      <c r="M77" s="18">
        <f>IF(OR(K77="",L77="",L77=0),"",IF(D77="Short",(G77-K77)/L77,(K77-G77)/L77))</f>
        <v/>
      </c>
      <c r="N77" s="18">
        <f>IF(M77="","",SUM($M$2:M77))</f>
        <v/>
      </c>
      <c r="O77" s="19" t="n"/>
      <c r="P77" s="15" t="n"/>
      <c r="Q77" s="15" t="n"/>
      <c r="R77" s="15" t="n"/>
      <c r="S77">
        <f>IF(N77="","",MAX(0,MAX($N$2:N77)))</f>
        <v/>
      </c>
      <c r="T77">
        <f>IF(N77="","",S77-N77)</f>
        <v/>
      </c>
      <c r="U77">
        <f>IF(M77="","",IF(M77&lt;0,IF(U76="",1,U76+1),0))</f>
        <v/>
      </c>
    </row>
    <row r="78">
      <c r="A78" s="6">
        <f>IF(B78="","",ROW()-1)</f>
        <v/>
      </c>
      <c r="B78" s="15" t="n"/>
      <c r="C78" s="15" t="n"/>
      <c r="D78" s="15" t="n"/>
      <c r="E78" s="15" t="n"/>
      <c r="F78" s="15" t="n"/>
      <c r="G78" s="16" t="n"/>
      <c r="H78" s="16" t="n"/>
      <c r="I78" s="16" t="n"/>
      <c r="J78" s="15" t="n"/>
      <c r="K78" s="16" t="n"/>
      <c r="L78" s="17">
        <f>IF(OR(G78="",H78=""),"",ABS(G78-H78))</f>
        <v/>
      </c>
      <c r="M78" s="18">
        <f>IF(OR(K78="",L78="",L78=0),"",IF(D78="Short",(G78-K78)/L78,(K78-G78)/L78))</f>
        <v/>
      </c>
      <c r="N78" s="18">
        <f>IF(M78="","",SUM($M$2:M78))</f>
        <v/>
      </c>
      <c r="O78" s="19" t="n"/>
      <c r="P78" s="15" t="n"/>
      <c r="Q78" s="15" t="n"/>
      <c r="R78" s="15" t="n"/>
      <c r="S78">
        <f>IF(N78="","",MAX(0,MAX($N$2:N78)))</f>
        <v/>
      </c>
      <c r="T78">
        <f>IF(N78="","",S78-N78)</f>
        <v/>
      </c>
      <c r="U78">
        <f>IF(M78="","",IF(M78&lt;0,IF(U77="",1,U77+1),0))</f>
        <v/>
      </c>
    </row>
    <row r="79">
      <c r="A79" s="6">
        <f>IF(B79="","",ROW()-1)</f>
        <v/>
      </c>
      <c r="B79" s="15" t="n"/>
      <c r="C79" s="15" t="n"/>
      <c r="D79" s="15" t="n"/>
      <c r="E79" s="15" t="n"/>
      <c r="F79" s="15" t="n"/>
      <c r="G79" s="16" t="n"/>
      <c r="H79" s="16" t="n"/>
      <c r="I79" s="16" t="n"/>
      <c r="J79" s="15" t="n"/>
      <c r="K79" s="16" t="n"/>
      <c r="L79" s="17">
        <f>IF(OR(G79="",H79=""),"",ABS(G79-H79))</f>
        <v/>
      </c>
      <c r="M79" s="18">
        <f>IF(OR(K79="",L79="",L79=0),"",IF(D79="Short",(G79-K79)/L79,(K79-G79)/L79))</f>
        <v/>
      </c>
      <c r="N79" s="18">
        <f>IF(M79="","",SUM($M$2:M79))</f>
        <v/>
      </c>
      <c r="O79" s="19" t="n"/>
      <c r="P79" s="15" t="n"/>
      <c r="Q79" s="15" t="n"/>
      <c r="R79" s="15" t="n"/>
      <c r="S79">
        <f>IF(N79="","",MAX(0,MAX($N$2:N79)))</f>
        <v/>
      </c>
      <c r="T79">
        <f>IF(N79="","",S79-N79)</f>
        <v/>
      </c>
      <c r="U79">
        <f>IF(M79="","",IF(M79&lt;0,IF(U78="",1,U78+1),0))</f>
        <v/>
      </c>
    </row>
    <row r="80">
      <c r="A80" s="6">
        <f>IF(B80="","",ROW()-1)</f>
        <v/>
      </c>
      <c r="B80" s="15" t="n"/>
      <c r="C80" s="15" t="n"/>
      <c r="D80" s="15" t="n"/>
      <c r="E80" s="15" t="n"/>
      <c r="F80" s="15" t="n"/>
      <c r="G80" s="16" t="n"/>
      <c r="H80" s="16" t="n"/>
      <c r="I80" s="16" t="n"/>
      <c r="J80" s="15" t="n"/>
      <c r="K80" s="16" t="n"/>
      <c r="L80" s="17">
        <f>IF(OR(G80="",H80=""),"",ABS(G80-H80))</f>
        <v/>
      </c>
      <c r="M80" s="18">
        <f>IF(OR(K80="",L80="",L80=0),"",IF(D80="Short",(G80-K80)/L80,(K80-G80)/L80))</f>
        <v/>
      </c>
      <c r="N80" s="18">
        <f>IF(M80="","",SUM($M$2:M80))</f>
        <v/>
      </c>
      <c r="O80" s="19" t="n"/>
      <c r="P80" s="15" t="n"/>
      <c r="Q80" s="15" t="n"/>
      <c r="R80" s="15" t="n"/>
      <c r="S80">
        <f>IF(N80="","",MAX(0,MAX($N$2:N80)))</f>
        <v/>
      </c>
      <c r="T80">
        <f>IF(N80="","",S80-N80)</f>
        <v/>
      </c>
      <c r="U80">
        <f>IF(M80="","",IF(M80&lt;0,IF(U79="",1,U79+1),0))</f>
        <v/>
      </c>
    </row>
    <row r="81">
      <c r="A81" s="6">
        <f>IF(B81="","",ROW()-1)</f>
        <v/>
      </c>
      <c r="B81" s="15" t="n"/>
      <c r="C81" s="15" t="n"/>
      <c r="D81" s="15" t="n"/>
      <c r="E81" s="15" t="n"/>
      <c r="F81" s="15" t="n"/>
      <c r="G81" s="16" t="n"/>
      <c r="H81" s="16" t="n"/>
      <c r="I81" s="16" t="n"/>
      <c r="J81" s="15" t="n"/>
      <c r="K81" s="16" t="n"/>
      <c r="L81" s="17">
        <f>IF(OR(G81="",H81=""),"",ABS(G81-H81))</f>
        <v/>
      </c>
      <c r="M81" s="18">
        <f>IF(OR(K81="",L81="",L81=0),"",IF(D81="Short",(G81-K81)/L81,(K81-G81)/L81))</f>
        <v/>
      </c>
      <c r="N81" s="18">
        <f>IF(M81="","",SUM($M$2:M81))</f>
        <v/>
      </c>
      <c r="O81" s="19" t="n"/>
      <c r="P81" s="15" t="n"/>
      <c r="Q81" s="15" t="n"/>
      <c r="R81" s="15" t="n"/>
      <c r="S81">
        <f>IF(N81="","",MAX(0,MAX($N$2:N81)))</f>
        <v/>
      </c>
      <c r="T81">
        <f>IF(N81="","",S81-N81)</f>
        <v/>
      </c>
      <c r="U81">
        <f>IF(M81="","",IF(M81&lt;0,IF(U80="",1,U80+1),0))</f>
        <v/>
      </c>
    </row>
    <row r="82">
      <c r="A82" s="6">
        <f>IF(B82="","",ROW()-1)</f>
        <v/>
      </c>
      <c r="B82" s="15" t="n"/>
      <c r="C82" s="15" t="n"/>
      <c r="D82" s="15" t="n"/>
      <c r="E82" s="15" t="n"/>
      <c r="F82" s="15" t="n"/>
      <c r="G82" s="16" t="n"/>
      <c r="H82" s="16" t="n"/>
      <c r="I82" s="16" t="n"/>
      <c r="J82" s="15" t="n"/>
      <c r="K82" s="16" t="n"/>
      <c r="L82" s="17">
        <f>IF(OR(G82="",H82=""),"",ABS(G82-H82))</f>
        <v/>
      </c>
      <c r="M82" s="18">
        <f>IF(OR(K82="",L82="",L82=0),"",IF(D82="Short",(G82-K82)/L82,(K82-G82)/L82))</f>
        <v/>
      </c>
      <c r="N82" s="18">
        <f>IF(M82="","",SUM($M$2:M82))</f>
        <v/>
      </c>
      <c r="O82" s="19" t="n"/>
      <c r="P82" s="15" t="n"/>
      <c r="Q82" s="15" t="n"/>
      <c r="R82" s="15" t="n"/>
      <c r="S82">
        <f>IF(N82="","",MAX(0,MAX($N$2:N82)))</f>
        <v/>
      </c>
      <c r="T82">
        <f>IF(N82="","",S82-N82)</f>
        <v/>
      </c>
      <c r="U82">
        <f>IF(M82="","",IF(M82&lt;0,IF(U81="",1,U81+1),0))</f>
        <v/>
      </c>
    </row>
    <row r="83">
      <c r="A83" s="6">
        <f>IF(B83="","",ROW()-1)</f>
        <v/>
      </c>
      <c r="B83" s="15" t="n"/>
      <c r="C83" s="15" t="n"/>
      <c r="D83" s="15" t="n"/>
      <c r="E83" s="15" t="n"/>
      <c r="F83" s="15" t="n"/>
      <c r="G83" s="16" t="n"/>
      <c r="H83" s="16" t="n"/>
      <c r="I83" s="16" t="n"/>
      <c r="J83" s="15" t="n"/>
      <c r="K83" s="16" t="n"/>
      <c r="L83" s="17">
        <f>IF(OR(G83="",H83=""),"",ABS(G83-H83))</f>
        <v/>
      </c>
      <c r="M83" s="18">
        <f>IF(OR(K83="",L83="",L83=0),"",IF(D83="Short",(G83-K83)/L83,(K83-G83)/L83))</f>
        <v/>
      </c>
      <c r="N83" s="18">
        <f>IF(M83="","",SUM($M$2:M83))</f>
        <v/>
      </c>
      <c r="O83" s="19" t="n"/>
      <c r="P83" s="15" t="n"/>
      <c r="Q83" s="15" t="n"/>
      <c r="R83" s="15" t="n"/>
      <c r="S83">
        <f>IF(N83="","",MAX(0,MAX($N$2:N83)))</f>
        <v/>
      </c>
      <c r="T83">
        <f>IF(N83="","",S83-N83)</f>
        <v/>
      </c>
      <c r="U83">
        <f>IF(M83="","",IF(M83&lt;0,IF(U82="",1,U82+1),0))</f>
        <v/>
      </c>
    </row>
    <row r="84">
      <c r="A84" s="6">
        <f>IF(B84="","",ROW()-1)</f>
        <v/>
      </c>
      <c r="B84" s="15" t="n"/>
      <c r="C84" s="15" t="n"/>
      <c r="D84" s="15" t="n"/>
      <c r="E84" s="15" t="n"/>
      <c r="F84" s="15" t="n"/>
      <c r="G84" s="16" t="n"/>
      <c r="H84" s="16" t="n"/>
      <c r="I84" s="16" t="n"/>
      <c r="J84" s="15" t="n"/>
      <c r="K84" s="16" t="n"/>
      <c r="L84" s="17">
        <f>IF(OR(G84="",H84=""),"",ABS(G84-H84))</f>
        <v/>
      </c>
      <c r="M84" s="18">
        <f>IF(OR(K84="",L84="",L84=0),"",IF(D84="Short",(G84-K84)/L84,(K84-G84)/L84))</f>
        <v/>
      </c>
      <c r="N84" s="18">
        <f>IF(M84="","",SUM($M$2:M84))</f>
        <v/>
      </c>
      <c r="O84" s="19" t="n"/>
      <c r="P84" s="15" t="n"/>
      <c r="Q84" s="15" t="n"/>
      <c r="R84" s="15" t="n"/>
      <c r="S84">
        <f>IF(N84="","",MAX(0,MAX($N$2:N84)))</f>
        <v/>
      </c>
      <c r="T84">
        <f>IF(N84="","",S84-N84)</f>
        <v/>
      </c>
      <c r="U84">
        <f>IF(M84="","",IF(M84&lt;0,IF(U83="",1,U83+1),0))</f>
        <v/>
      </c>
    </row>
    <row r="85">
      <c r="A85" s="6">
        <f>IF(B85="","",ROW()-1)</f>
        <v/>
      </c>
      <c r="B85" s="15" t="n"/>
      <c r="C85" s="15" t="n"/>
      <c r="D85" s="15" t="n"/>
      <c r="E85" s="15" t="n"/>
      <c r="F85" s="15" t="n"/>
      <c r="G85" s="16" t="n"/>
      <c r="H85" s="16" t="n"/>
      <c r="I85" s="16" t="n"/>
      <c r="J85" s="15" t="n"/>
      <c r="K85" s="16" t="n"/>
      <c r="L85" s="17">
        <f>IF(OR(G85="",H85=""),"",ABS(G85-H85))</f>
        <v/>
      </c>
      <c r="M85" s="18">
        <f>IF(OR(K85="",L85="",L85=0),"",IF(D85="Short",(G85-K85)/L85,(K85-G85)/L85))</f>
        <v/>
      </c>
      <c r="N85" s="18">
        <f>IF(M85="","",SUM($M$2:M85))</f>
        <v/>
      </c>
      <c r="O85" s="19" t="n"/>
      <c r="P85" s="15" t="n"/>
      <c r="Q85" s="15" t="n"/>
      <c r="R85" s="15" t="n"/>
      <c r="S85">
        <f>IF(N85="","",MAX(0,MAX($N$2:N85)))</f>
        <v/>
      </c>
      <c r="T85">
        <f>IF(N85="","",S85-N85)</f>
        <v/>
      </c>
      <c r="U85">
        <f>IF(M85="","",IF(M85&lt;0,IF(U84="",1,U84+1),0))</f>
        <v/>
      </c>
    </row>
    <row r="86">
      <c r="A86" s="6">
        <f>IF(B86="","",ROW()-1)</f>
        <v/>
      </c>
      <c r="B86" s="15" t="n"/>
      <c r="C86" s="15" t="n"/>
      <c r="D86" s="15" t="n"/>
      <c r="E86" s="15" t="n"/>
      <c r="F86" s="15" t="n"/>
      <c r="G86" s="16" t="n"/>
      <c r="H86" s="16" t="n"/>
      <c r="I86" s="16" t="n"/>
      <c r="J86" s="15" t="n"/>
      <c r="K86" s="16" t="n"/>
      <c r="L86" s="17">
        <f>IF(OR(G86="",H86=""),"",ABS(G86-H86))</f>
        <v/>
      </c>
      <c r="M86" s="18">
        <f>IF(OR(K86="",L86="",L86=0),"",IF(D86="Short",(G86-K86)/L86,(K86-G86)/L86))</f>
        <v/>
      </c>
      <c r="N86" s="18">
        <f>IF(M86="","",SUM($M$2:M86))</f>
        <v/>
      </c>
      <c r="O86" s="19" t="n"/>
      <c r="P86" s="15" t="n"/>
      <c r="Q86" s="15" t="n"/>
      <c r="R86" s="15" t="n"/>
      <c r="S86">
        <f>IF(N86="","",MAX(0,MAX($N$2:N86)))</f>
        <v/>
      </c>
      <c r="T86">
        <f>IF(N86="","",S86-N86)</f>
        <v/>
      </c>
      <c r="U86">
        <f>IF(M86="","",IF(M86&lt;0,IF(U85="",1,U85+1),0))</f>
        <v/>
      </c>
    </row>
    <row r="87">
      <c r="A87" s="6">
        <f>IF(B87="","",ROW()-1)</f>
        <v/>
      </c>
      <c r="B87" s="15" t="n"/>
      <c r="C87" s="15" t="n"/>
      <c r="D87" s="15" t="n"/>
      <c r="E87" s="15" t="n"/>
      <c r="F87" s="15" t="n"/>
      <c r="G87" s="16" t="n"/>
      <c r="H87" s="16" t="n"/>
      <c r="I87" s="16" t="n"/>
      <c r="J87" s="15" t="n"/>
      <c r="K87" s="16" t="n"/>
      <c r="L87" s="17">
        <f>IF(OR(G87="",H87=""),"",ABS(G87-H87))</f>
        <v/>
      </c>
      <c r="M87" s="18">
        <f>IF(OR(K87="",L87="",L87=0),"",IF(D87="Short",(G87-K87)/L87,(K87-G87)/L87))</f>
        <v/>
      </c>
      <c r="N87" s="18">
        <f>IF(M87="","",SUM($M$2:M87))</f>
        <v/>
      </c>
      <c r="O87" s="19" t="n"/>
      <c r="P87" s="15" t="n"/>
      <c r="Q87" s="15" t="n"/>
      <c r="R87" s="15" t="n"/>
      <c r="S87">
        <f>IF(N87="","",MAX(0,MAX($N$2:N87)))</f>
        <v/>
      </c>
      <c r="T87">
        <f>IF(N87="","",S87-N87)</f>
        <v/>
      </c>
      <c r="U87">
        <f>IF(M87="","",IF(M87&lt;0,IF(U86="",1,U86+1),0))</f>
        <v/>
      </c>
    </row>
    <row r="88">
      <c r="A88" s="6">
        <f>IF(B88="","",ROW()-1)</f>
        <v/>
      </c>
      <c r="B88" s="15" t="n"/>
      <c r="C88" s="15" t="n"/>
      <c r="D88" s="15" t="n"/>
      <c r="E88" s="15" t="n"/>
      <c r="F88" s="15" t="n"/>
      <c r="G88" s="16" t="n"/>
      <c r="H88" s="16" t="n"/>
      <c r="I88" s="16" t="n"/>
      <c r="J88" s="15" t="n"/>
      <c r="K88" s="16" t="n"/>
      <c r="L88" s="17">
        <f>IF(OR(G88="",H88=""),"",ABS(G88-H88))</f>
        <v/>
      </c>
      <c r="M88" s="18">
        <f>IF(OR(K88="",L88="",L88=0),"",IF(D88="Short",(G88-K88)/L88,(K88-G88)/L88))</f>
        <v/>
      </c>
      <c r="N88" s="18">
        <f>IF(M88="","",SUM($M$2:M88))</f>
        <v/>
      </c>
      <c r="O88" s="19" t="n"/>
      <c r="P88" s="15" t="n"/>
      <c r="Q88" s="15" t="n"/>
      <c r="R88" s="15" t="n"/>
      <c r="S88">
        <f>IF(N88="","",MAX(0,MAX($N$2:N88)))</f>
        <v/>
      </c>
      <c r="T88">
        <f>IF(N88="","",S88-N88)</f>
        <v/>
      </c>
      <c r="U88">
        <f>IF(M88="","",IF(M88&lt;0,IF(U87="",1,U87+1),0))</f>
        <v/>
      </c>
    </row>
    <row r="89">
      <c r="A89" s="6">
        <f>IF(B89="","",ROW()-1)</f>
        <v/>
      </c>
      <c r="B89" s="15" t="n"/>
      <c r="C89" s="15" t="n"/>
      <c r="D89" s="15" t="n"/>
      <c r="E89" s="15" t="n"/>
      <c r="F89" s="15" t="n"/>
      <c r="G89" s="16" t="n"/>
      <c r="H89" s="16" t="n"/>
      <c r="I89" s="16" t="n"/>
      <c r="J89" s="15" t="n"/>
      <c r="K89" s="16" t="n"/>
      <c r="L89" s="17">
        <f>IF(OR(G89="",H89=""),"",ABS(G89-H89))</f>
        <v/>
      </c>
      <c r="M89" s="18">
        <f>IF(OR(K89="",L89="",L89=0),"",IF(D89="Short",(G89-K89)/L89,(K89-G89)/L89))</f>
        <v/>
      </c>
      <c r="N89" s="18">
        <f>IF(M89="","",SUM($M$2:M89))</f>
        <v/>
      </c>
      <c r="O89" s="19" t="n"/>
      <c r="P89" s="15" t="n"/>
      <c r="Q89" s="15" t="n"/>
      <c r="R89" s="15" t="n"/>
      <c r="S89">
        <f>IF(N89="","",MAX(0,MAX($N$2:N89)))</f>
        <v/>
      </c>
      <c r="T89">
        <f>IF(N89="","",S89-N89)</f>
        <v/>
      </c>
      <c r="U89">
        <f>IF(M89="","",IF(M89&lt;0,IF(U88="",1,U88+1),0))</f>
        <v/>
      </c>
    </row>
    <row r="90">
      <c r="A90" s="6">
        <f>IF(B90="","",ROW()-1)</f>
        <v/>
      </c>
      <c r="B90" s="15" t="n"/>
      <c r="C90" s="15" t="n"/>
      <c r="D90" s="15" t="n"/>
      <c r="E90" s="15" t="n"/>
      <c r="F90" s="15" t="n"/>
      <c r="G90" s="16" t="n"/>
      <c r="H90" s="16" t="n"/>
      <c r="I90" s="16" t="n"/>
      <c r="J90" s="15" t="n"/>
      <c r="K90" s="16" t="n"/>
      <c r="L90" s="17">
        <f>IF(OR(G90="",H90=""),"",ABS(G90-H90))</f>
        <v/>
      </c>
      <c r="M90" s="18">
        <f>IF(OR(K90="",L90="",L90=0),"",IF(D90="Short",(G90-K90)/L90,(K90-G90)/L90))</f>
        <v/>
      </c>
      <c r="N90" s="18">
        <f>IF(M90="","",SUM($M$2:M90))</f>
        <v/>
      </c>
      <c r="O90" s="19" t="n"/>
      <c r="P90" s="15" t="n"/>
      <c r="Q90" s="15" t="n"/>
      <c r="R90" s="15" t="n"/>
      <c r="S90">
        <f>IF(N90="","",MAX(0,MAX($N$2:N90)))</f>
        <v/>
      </c>
      <c r="T90">
        <f>IF(N90="","",S90-N90)</f>
        <v/>
      </c>
      <c r="U90">
        <f>IF(M90="","",IF(M90&lt;0,IF(U89="",1,U89+1),0))</f>
        <v/>
      </c>
    </row>
    <row r="91">
      <c r="A91" s="6">
        <f>IF(B91="","",ROW()-1)</f>
        <v/>
      </c>
      <c r="B91" s="15" t="n"/>
      <c r="C91" s="15" t="n"/>
      <c r="D91" s="15" t="n"/>
      <c r="E91" s="15" t="n"/>
      <c r="F91" s="15" t="n"/>
      <c r="G91" s="16" t="n"/>
      <c r="H91" s="16" t="n"/>
      <c r="I91" s="16" t="n"/>
      <c r="J91" s="15" t="n"/>
      <c r="K91" s="16" t="n"/>
      <c r="L91" s="17">
        <f>IF(OR(G91="",H91=""),"",ABS(G91-H91))</f>
        <v/>
      </c>
      <c r="M91" s="18">
        <f>IF(OR(K91="",L91="",L91=0),"",IF(D91="Short",(G91-K91)/L91,(K91-G91)/L91))</f>
        <v/>
      </c>
      <c r="N91" s="18">
        <f>IF(M91="","",SUM($M$2:M91))</f>
        <v/>
      </c>
      <c r="O91" s="19" t="n"/>
      <c r="P91" s="15" t="n"/>
      <c r="Q91" s="15" t="n"/>
      <c r="R91" s="15" t="n"/>
      <c r="S91">
        <f>IF(N91="","",MAX(0,MAX($N$2:N91)))</f>
        <v/>
      </c>
      <c r="T91">
        <f>IF(N91="","",S91-N91)</f>
        <v/>
      </c>
      <c r="U91">
        <f>IF(M91="","",IF(M91&lt;0,IF(U90="",1,U90+1),0))</f>
        <v/>
      </c>
    </row>
    <row r="92">
      <c r="A92" s="6">
        <f>IF(B92="","",ROW()-1)</f>
        <v/>
      </c>
      <c r="B92" s="15" t="n"/>
      <c r="C92" s="15" t="n"/>
      <c r="D92" s="15" t="n"/>
      <c r="E92" s="15" t="n"/>
      <c r="F92" s="15" t="n"/>
      <c r="G92" s="16" t="n"/>
      <c r="H92" s="16" t="n"/>
      <c r="I92" s="16" t="n"/>
      <c r="J92" s="15" t="n"/>
      <c r="K92" s="16" t="n"/>
      <c r="L92" s="17">
        <f>IF(OR(G92="",H92=""),"",ABS(G92-H92))</f>
        <v/>
      </c>
      <c r="M92" s="18">
        <f>IF(OR(K92="",L92="",L92=0),"",IF(D92="Short",(G92-K92)/L92,(K92-G92)/L92))</f>
        <v/>
      </c>
      <c r="N92" s="18">
        <f>IF(M92="","",SUM($M$2:M92))</f>
        <v/>
      </c>
      <c r="O92" s="19" t="n"/>
      <c r="P92" s="15" t="n"/>
      <c r="Q92" s="15" t="n"/>
      <c r="R92" s="15" t="n"/>
      <c r="S92">
        <f>IF(N92="","",MAX(0,MAX($N$2:N92)))</f>
        <v/>
      </c>
      <c r="T92">
        <f>IF(N92="","",S92-N92)</f>
        <v/>
      </c>
      <c r="U92">
        <f>IF(M92="","",IF(M92&lt;0,IF(U91="",1,U91+1),0))</f>
        <v/>
      </c>
    </row>
    <row r="93">
      <c r="A93" s="6">
        <f>IF(B93="","",ROW()-1)</f>
        <v/>
      </c>
      <c r="B93" s="15" t="n"/>
      <c r="C93" s="15" t="n"/>
      <c r="D93" s="15" t="n"/>
      <c r="E93" s="15" t="n"/>
      <c r="F93" s="15" t="n"/>
      <c r="G93" s="16" t="n"/>
      <c r="H93" s="16" t="n"/>
      <c r="I93" s="16" t="n"/>
      <c r="J93" s="15" t="n"/>
      <c r="K93" s="16" t="n"/>
      <c r="L93" s="17">
        <f>IF(OR(G93="",H93=""),"",ABS(G93-H93))</f>
        <v/>
      </c>
      <c r="M93" s="18">
        <f>IF(OR(K93="",L93="",L93=0),"",IF(D93="Short",(G93-K93)/L93,(K93-G93)/L93))</f>
        <v/>
      </c>
      <c r="N93" s="18">
        <f>IF(M93="","",SUM($M$2:M93))</f>
        <v/>
      </c>
      <c r="O93" s="19" t="n"/>
      <c r="P93" s="15" t="n"/>
      <c r="Q93" s="15" t="n"/>
      <c r="R93" s="15" t="n"/>
      <c r="S93">
        <f>IF(N93="","",MAX(0,MAX($N$2:N93)))</f>
        <v/>
      </c>
      <c r="T93">
        <f>IF(N93="","",S93-N93)</f>
        <v/>
      </c>
      <c r="U93">
        <f>IF(M93="","",IF(M93&lt;0,IF(U92="",1,U92+1),0))</f>
        <v/>
      </c>
    </row>
    <row r="94">
      <c r="A94" s="6">
        <f>IF(B94="","",ROW()-1)</f>
        <v/>
      </c>
      <c r="B94" s="15" t="n"/>
      <c r="C94" s="15" t="n"/>
      <c r="D94" s="15" t="n"/>
      <c r="E94" s="15" t="n"/>
      <c r="F94" s="15" t="n"/>
      <c r="G94" s="16" t="n"/>
      <c r="H94" s="16" t="n"/>
      <c r="I94" s="16" t="n"/>
      <c r="J94" s="15" t="n"/>
      <c r="K94" s="16" t="n"/>
      <c r="L94" s="17">
        <f>IF(OR(G94="",H94=""),"",ABS(G94-H94))</f>
        <v/>
      </c>
      <c r="M94" s="18">
        <f>IF(OR(K94="",L94="",L94=0),"",IF(D94="Short",(G94-K94)/L94,(K94-G94)/L94))</f>
        <v/>
      </c>
      <c r="N94" s="18">
        <f>IF(M94="","",SUM($M$2:M94))</f>
        <v/>
      </c>
      <c r="O94" s="19" t="n"/>
      <c r="P94" s="15" t="n"/>
      <c r="Q94" s="15" t="n"/>
      <c r="R94" s="15" t="n"/>
      <c r="S94">
        <f>IF(N94="","",MAX(0,MAX($N$2:N94)))</f>
        <v/>
      </c>
      <c r="T94">
        <f>IF(N94="","",S94-N94)</f>
        <v/>
      </c>
      <c r="U94">
        <f>IF(M94="","",IF(M94&lt;0,IF(U93="",1,U93+1),0))</f>
        <v/>
      </c>
    </row>
    <row r="95">
      <c r="A95" s="6">
        <f>IF(B95="","",ROW()-1)</f>
        <v/>
      </c>
      <c r="B95" s="15" t="n"/>
      <c r="C95" s="15" t="n"/>
      <c r="D95" s="15" t="n"/>
      <c r="E95" s="15" t="n"/>
      <c r="F95" s="15" t="n"/>
      <c r="G95" s="16" t="n"/>
      <c r="H95" s="16" t="n"/>
      <c r="I95" s="16" t="n"/>
      <c r="J95" s="15" t="n"/>
      <c r="K95" s="16" t="n"/>
      <c r="L95" s="17">
        <f>IF(OR(G95="",H95=""),"",ABS(G95-H95))</f>
        <v/>
      </c>
      <c r="M95" s="18">
        <f>IF(OR(K95="",L95="",L95=0),"",IF(D95="Short",(G95-K95)/L95,(K95-G95)/L95))</f>
        <v/>
      </c>
      <c r="N95" s="18">
        <f>IF(M95="","",SUM($M$2:M95))</f>
        <v/>
      </c>
      <c r="O95" s="19" t="n"/>
      <c r="P95" s="15" t="n"/>
      <c r="Q95" s="15" t="n"/>
      <c r="R95" s="15" t="n"/>
      <c r="S95">
        <f>IF(N95="","",MAX(0,MAX($N$2:N95)))</f>
        <v/>
      </c>
      <c r="T95">
        <f>IF(N95="","",S95-N95)</f>
        <v/>
      </c>
      <c r="U95">
        <f>IF(M95="","",IF(M95&lt;0,IF(U94="",1,U94+1),0))</f>
        <v/>
      </c>
    </row>
    <row r="96">
      <c r="A96" s="6">
        <f>IF(B96="","",ROW()-1)</f>
        <v/>
      </c>
      <c r="B96" s="15" t="n"/>
      <c r="C96" s="15" t="n"/>
      <c r="D96" s="15" t="n"/>
      <c r="E96" s="15" t="n"/>
      <c r="F96" s="15" t="n"/>
      <c r="G96" s="16" t="n"/>
      <c r="H96" s="16" t="n"/>
      <c r="I96" s="16" t="n"/>
      <c r="J96" s="15" t="n"/>
      <c r="K96" s="16" t="n"/>
      <c r="L96" s="17">
        <f>IF(OR(G96="",H96=""),"",ABS(G96-H96))</f>
        <v/>
      </c>
      <c r="M96" s="18">
        <f>IF(OR(K96="",L96="",L96=0),"",IF(D96="Short",(G96-K96)/L96,(K96-G96)/L96))</f>
        <v/>
      </c>
      <c r="N96" s="18">
        <f>IF(M96="","",SUM($M$2:M96))</f>
        <v/>
      </c>
      <c r="O96" s="19" t="n"/>
      <c r="P96" s="15" t="n"/>
      <c r="Q96" s="15" t="n"/>
      <c r="R96" s="15" t="n"/>
      <c r="S96">
        <f>IF(N96="","",MAX(0,MAX($N$2:N96)))</f>
        <v/>
      </c>
      <c r="T96">
        <f>IF(N96="","",S96-N96)</f>
        <v/>
      </c>
      <c r="U96">
        <f>IF(M96="","",IF(M96&lt;0,IF(U95="",1,U95+1),0))</f>
        <v/>
      </c>
    </row>
    <row r="97">
      <c r="A97" s="6">
        <f>IF(B97="","",ROW()-1)</f>
        <v/>
      </c>
      <c r="B97" s="15" t="n"/>
      <c r="C97" s="15" t="n"/>
      <c r="D97" s="15" t="n"/>
      <c r="E97" s="15" t="n"/>
      <c r="F97" s="15" t="n"/>
      <c r="G97" s="16" t="n"/>
      <c r="H97" s="16" t="n"/>
      <c r="I97" s="16" t="n"/>
      <c r="J97" s="15" t="n"/>
      <c r="K97" s="16" t="n"/>
      <c r="L97" s="17">
        <f>IF(OR(G97="",H97=""),"",ABS(G97-H97))</f>
        <v/>
      </c>
      <c r="M97" s="18">
        <f>IF(OR(K97="",L97="",L97=0),"",IF(D97="Short",(G97-K97)/L97,(K97-G97)/L97))</f>
        <v/>
      </c>
      <c r="N97" s="18">
        <f>IF(M97="","",SUM($M$2:M97))</f>
        <v/>
      </c>
      <c r="O97" s="19" t="n"/>
      <c r="P97" s="15" t="n"/>
      <c r="Q97" s="15" t="n"/>
      <c r="R97" s="15" t="n"/>
      <c r="S97">
        <f>IF(N97="","",MAX(0,MAX($N$2:N97)))</f>
        <v/>
      </c>
      <c r="T97">
        <f>IF(N97="","",S97-N97)</f>
        <v/>
      </c>
      <c r="U97">
        <f>IF(M97="","",IF(M97&lt;0,IF(U96="",1,U96+1),0))</f>
        <v/>
      </c>
    </row>
    <row r="98">
      <c r="A98" s="6">
        <f>IF(B98="","",ROW()-1)</f>
        <v/>
      </c>
      <c r="B98" s="15" t="n"/>
      <c r="C98" s="15" t="n"/>
      <c r="D98" s="15" t="n"/>
      <c r="E98" s="15" t="n"/>
      <c r="F98" s="15" t="n"/>
      <c r="G98" s="16" t="n"/>
      <c r="H98" s="16" t="n"/>
      <c r="I98" s="16" t="n"/>
      <c r="J98" s="15" t="n"/>
      <c r="K98" s="16" t="n"/>
      <c r="L98" s="17">
        <f>IF(OR(G98="",H98=""),"",ABS(G98-H98))</f>
        <v/>
      </c>
      <c r="M98" s="18">
        <f>IF(OR(K98="",L98="",L98=0),"",IF(D98="Short",(G98-K98)/L98,(K98-G98)/L98))</f>
        <v/>
      </c>
      <c r="N98" s="18">
        <f>IF(M98="","",SUM($M$2:M98))</f>
        <v/>
      </c>
      <c r="O98" s="19" t="n"/>
      <c r="P98" s="15" t="n"/>
      <c r="Q98" s="15" t="n"/>
      <c r="R98" s="15" t="n"/>
      <c r="S98">
        <f>IF(N98="","",MAX(0,MAX($N$2:N98)))</f>
        <v/>
      </c>
      <c r="T98">
        <f>IF(N98="","",S98-N98)</f>
        <v/>
      </c>
      <c r="U98">
        <f>IF(M98="","",IF(M98&lt;0,IF(U97="",1,U97+1),0))</f>
        <v/>
      </c>
    </row>
    <row r="99">
      <c r="A99" s="6">
        <f>IF(B99="","",ROW()-1)</f>
        <v/>
      </c>
      <c r="B99" s="15" t="n"/>
      <c r="C99" s="15" t="n"/>
      <c r="D99" s="15" t="n"/>
      <c r="E99" s="15" t="n"/>
      <c r="F99" s="15" t="n"/>
      <c r="G99" s="16" t="n"/>
      <c r="H99" s="16" t="n"/>
      <c r="I99" s="16" t="n"/>
      <c r="J99" s="15" t="n"/>
      <c r="K99" s="16" t="n"/>
      <c r="L99" s="17">
        <f>IF(OR(G99="",H99=""),"",ABS(G99-H99))</f>
        <v/>
      </c>
      <c r="M99" s="18">
        <f>IF(OR(K99="",L99="",L99=0),"",IF(D99="Short",(G99-K99)/L99,(K99-G99)/L99))</f>
        <v/>
      </c>
      <c r="N99" s="18">
        <f>IF(M99="","",SUM($M$2:M99))</f>
        <v/>
      </c>
      <c r="O99" s="19" t="n"/>
      <c r="P99" s="15" t="n"/>
      <c r="Q99" s="15" t="n"/>
      <c r="R99" s="15" t="n"/>
      <c r="S99">
        <f>IF(N99="","",MAX(0,MAX($N$2:N99)))</f>
        <v/>
      </c>
      <c r="T99">
        <f>IF(N99="","",S99-N99)</f>
        <v/>
      </c>
      <c r="U99">
        <f>IF(M99="","",IF(M99&lt;0,IF(U98="",1,U98+1),0))</f>
        <v/>
      </c>
    </row>
    <row r="100">
      <c r="A100" s="6">
        <f>IF(B100="","",ROW()-1)</f>
        <v/>
      </c>
      <c r="B100" s="15" t="n"/>
      <c r="C100" s="15" t="n"/>
      <c r="D100" s="15" t="n"/>
      <c r="E100" s="15" t="n"/>
      <c r="F100" s="15" t="n"/>
      <c r="G100" s="16" t="n"/>
      <c r="H100" s="16" t="n"/>
      <c r="I100" s="16" t="n"/>
      <c r="J100" s="15" t="n"/>
      <c r="K100" s="16" t="n"/>
      <c r="L100" s="17">
        <f>IF(OR(G100="",H100=""),"",ABS(G100-H100))</f>
        <v/>
      </c>
      <c r="M100" s="18">
        <f>IF(OR(K100="",L100="",L100=0),"",IF(D100="Short",(G100-K100)/L100,(K100-G100)/L100))</f>
        <v/>
      </c>
      <c r="N100" s="18">
        <f>IF(M100="","",SUM($M$2:M100))</f>
        <v/>
      </c>
      <c r="O100" s="19" t="n"/>
      <c r="P100" s="15" t="n"/>
      <c r="Q100" s="15" t="n"/>
      <c r="R100" s="15" t="n"/>
      <c r="S100">
        <f>IF(N100="","",MAX(0,MAX($N$2:N100)))</f>
        <v/>
      </c>
      <c r="T100">
        <f>IF(N100="","",S100-N100)</f>
        <v/>
      </c>
      <c r="U100">
        <f>IF(M100="","",IF(M100&lt;0,IF(U99="",1,U99+1),0))</f>
        <v/>
      </c>
    </row>
    <row r="101">
      <c r="A101" s="6">
        <f>IF(B101="","",ROW()-1)</f>
        <v/>
      </c>
      <c r="B101" s="15" t="n"/>
      <c r="C101" s="15" t="n"/>
      <c r="D101" s="15" t="n"/>
      <c r="E101" s="15" t="n"/>
      <c r="F101" s="15" t="n"/>
      <c r="G101" s="16" t="n"/>
      <c r="H101" s="16" t="n"/>
      <c r="I101" s="16" t="n"/>
      <c r="J101" s="15" t="n"/>
      <c r="K101" s="16" t="n"/>
      <c r="L101" s="17">
        <f>IF(OR(G101="",H101=""),"",ABS(G101-H101))</f>
        <v/>
      </c>
      <c r="M101" s="18">
        <f>IF(OR(K101="",L101="",L101=0),"",IF(D101="Short",(G101-K101)/L101,(K101-G101)/L101))</f>
        <v/>
      </c>
      <c r="N101" s="18">
        <f>IF(M101="","",SUM($M$2:M101))</f>
        <v/>
      </c>
      <c r="O101" s="19" t="n"/>
      <c r="P101" s="15" t="n"/>
      <c r="Q101" s="15" t="n"/>
      <c r="R101" s="15" t="n"/>
      <c r="S101">
        <f>IF(N101="","",MAX(0,MAX($N$2:N101)))</f>
        <v/>
      </c>
      <c r="T101">
        <f>IF(N101="","",S101-N101)</f>
        <v/>
      </c>
      <c r="U101">
        <f>IF(M101="","",IF(M101&lt;0,IF(U100="",1,U100+1),0))</f>
        <v/>
      </c>
    </row>
    <row r="102">
      <c r="A102" s="6">
        <f>IF(B102="","",ROW()-1)</f>
        <v/>
      </c>
      <c r="B102" s="15" t="n"/>
      <c r="C102" s="15" t="n"/>
      <c r="D102" s="15" t="n"/>
      <c r="E102" s="15" t="n"/>
      <c r="F102" s="15" t="n"/>
      <c r="G102" s="16" t="n"/>
      <c r="H102" s="16" t="n"/>
      <c r="I102" s="16" t="n"/>
      <c r="J102" s="15" t="n"/>
      <c r="K102" s="16" t="n"/>
      <c r="L102" s="17">
        <f>IF(OR(G102="",H102=""),"",ABS(G102-H102))</f>
        <v/>
      </c>
      <c r="M102" s="18">
        <f>IF(OR(K102="",L102="",L102=0),"",IF(D102="Short",(G102-K102)/L102,(K102-G102)/L102))</f>
        <v/>
      </c>
      <c r="N102" s="18">
        <f>IF(M102="","",SUM($M$2:M102))</f>
        <v/>
      </c>
      <c r="O102" s="19" t="n"/>
      <c r="P102" s="15" t="n"/>
      <c r="Q102" s="15" t="n"/>
      <c r="R102" s="15" t="n"/>
      <c r="S102">
        <f>IF(N102="","",MAX(0,MAX($N$2:N102)))</f>
        <v/>
      </c>
      <c r="T102">
        <f>IF(N102="","",S102-N102)</f>
        <v/>
      </c>
      <c r="U102">
        <f>IF(M102="","",IF(M102&lt;0,IF(U101="",1,U101+1),0))</f>
        <v/>
      </c>
    </row>
    <row r="103">
      <c r="A103" s="6">
        <f>IF(B103="","",ROW()-1)</f>
        <v/>
      </c>
      <c r="B103" s="15" t="n"/>
      <c r="C103" s="15" t="n"/>
      <c r="D103" s="15" t="n"/>
      <c r="E103" s="15" t="n"/>
      <c r="F103" s="15" t="n"/>
      <c r="G103" s="16" t="n"/>
      <c r="H103" s="16" t="n"/>
      <c r="I103" s="16" t="n"/>
      <c r="J103" s="15" t="n"/>
      <c r="K103" s="16" t="n"/>
      <c r="L103" s="17">
        <f>IF(OR(G103="",H103=""),"",ABS(G103-H103))</f>
        <v/>
      </c>
      <c r="M103" s="18">
        <f>IF(OR(K103="",L103="",L103=0),"",IF(D103="Short",(G103-K103)/L103,(K103-G103)/L103))</f>
        <v/>
      </c>
      <c r="N103" s="18">
        <f>IF(M103="","",SUM($M$2:M103))</f>
        <v/>
      </c>
      <c r="O103" s="19" t="n"/>
      <c r="P103" s="15" t="n"/>
      <c r="Q103" s="15" t="n"/>
      <c r="R103" s="15" t="n"/>
      <c r="S103">
        <f>IF(N103="","",MAX(0,MAX($N$2:N103)))</f>
        <v/>
      </c>
      <c r="T103">
        <f>IF(N103="","",S103-N103)</f>
        <v/>
      </c>
      <c r="U103">
        <f>IF(M103="","",IF(M103&lt;0,IF(U102="",1,U102+1),0))</f>
        <v/>
      </c>
    </row>
    <row r="104">
      <c r="A104" s="6">
        <f>IF(B104="","",ROW()-1)</f>
        <v/>
      </c>
      <c r="B104" s="15" t="n"/>
      <c r="C104" s="15" t="n"/>
      <c r="D104" s="15" t="n"/>
      <c r="E104" s="15" t="n"/>
      <c r="F104" s="15" t="n"/>
      <c r="G104" s="16" t="n"/>
      <c r="H104" s="16" t="n"/>
      <c r="I104" s="16" t="n"/>
      <c r="J104" s="15" t="n"/>
      <c r="K104" s="16" t="n"/>
      <c r="L104" s="17">
        <f>IF(OR(G104="",H104=""),"",ABS(G104-H104))</f>
        <v/>
      </c>
      <c r="M104" s="18">
        <f>IF(OR(K104="",L104="",L104=0),"",IF(D104="Short",(G104-K104)/L104,(K104-G104)/L104))</f>
        <v/>
      </c>
      <c r="N104" s="18">
        <f>IF(M104="","",SUM($M$2:M104))</f>
        <v/>
      </c>
      <c r="O104" s="19" t="n"/>
      <c r="P104" s="15" t="n"/>
      <c r="Q104" s="15" t="n"/>
      <c r="R104" s="15" t="n"/>
      <c r="S104">
        <f>IF(N104="","",MAX(0,MAX($N$2:N104)))</f>
        <v/>
      </c>
      <c r="T104">
        <f>IF(N104="","",S104-N104)</f>
        <v/>
      </c>
      <c r="U104">
        <f>IF(M104="","",IF(M104&lt;0,IF(U103="",1,U103+1),0))</f>
        <v/>
      </c>
    </row>
    <row r="105">
      <c r="A105" s="6">
        <f>IF(B105="","",ROW()-1)</f>
        <v/>
      </c>
      <c r="B105" s="15" t="n"/>
      <c r="C105" s="15" t="n"/>
      <c r="D105" s="15" t="n"/>
      <c r="E105" s="15" t="n"/>
      <c r="F105" s="15" t="n"/>
      <c r="G105" s="16" t="n"/>
      <c r="H105" s="16" t="n"/>
      <c r="I105" s="16" t="n"/>
      <c r="J105" s="15" t="n"/>
      <c r="K105" s="16" t="n"/>
      <c r="L105" s="17">
        <f>IF(OR(G105="",H105=""),"",ABS(G105-H105))</f>
        <v/>
      </c>
      <c r="M105" s="18">
        <f>IF(OR(K105="",L105="",L105=0),"",IF(D105="Short",(G105-K105)/L105,(K105-G105)/L105))</f>
        <v/>
      </c>
      <c r="N105" s="18">
        <f>IF(M105="","",SUM($M$2:M105))</f>
        <v/>
      </c>
      <c r="O105" s="19" t="n"/>
      <c r="P105" s="15" t="n"/>
      <c r="Q105" s="15" t="n"/>
      <c r="R105" s="15" t="n"/>
      <c r="S105">
        <f>IF(N105="","",MAX(0,MAX($N$2:N105)))</f>
        <v/>
      </c>
      <c r="T105">
        <f>IF(N105="","",S105-N105)</f>
        <v/>
      </c>
      <c r="U105">
        <f>IF(M105="","",IF(M105&lt;0,IF(U104="",1,U104+1),0))</f>
        <v/>
      </c>
    </row>
    <row r="106">
      <c r="A106" s="6">
        <f>IF(B106="","",ROW()-1)</f>
        <v/>
      </c>
      <c r="B106" s="15" t="n"/>
      <c r="C106" s="15" t="n"/>
      <c r="D106" s="15" t="n"/>
      <c r="E106" s="15" t="n"/>
      <c r="F106" s="15" t="n"/>
      <c r="G106" s="16" t="n"/>
      <c r="H106" s="16" t="n"/>
      <c r="I106" s="16" t="n"/>
      <c r="J106" s="15" t="n"/>
      <c r="K106" s="16" t="n"/>
      <c r="L106" s="17">
        <f>IF(OR(G106="",H106=""),"",ABS(G106-H106))</f>
        <v/>
      </c>
      <c r="M106" s="18">
        <f>IF(OR(K106="",L106="",L106=0),"",IF(D106="Short",(G106-K106)/L106,(K106-G106)/L106))</f>
        <v/>
      </c>
      <c r="N106" s="18">
        <f>IF(M106="","",SUM($M$2:M106))</f>
        <v/>
      </c>
      <c r="O106" s="19" t="n"/>
      <c r="P106" s="15" t="n"/>
      <c r="Q106" s="15" t="n"/>
      <c r="R106" s="15" t="n"/>
      <c r="S106">
        <f>IF(N106="","",MAX(0,MAX($N$2:N106)))</f>
        <v/>
      </c>
      <c r="T106">
        <f>IF(N106="","",S106-N106)</f>
        <v/>
      </c>
      <c r="U106">
        <f>IF(M106="","",IF(M106&lt;0,IF(U105="",1,U105+1),0))</f>
        <v/>
      </c>
    </row>
    <row r="107">
      <c r="A107" s="6">
        <f>IF(B107="","",ROW()-1)</f>
        <v/>
      </c>
      <c r="B107" s="15" t="n"/>
      <c r="C107" s="15" t="n"/>
      <c r="D107" s="15" t="n"/>
      <c r="E107" s="15" t="n"/>
      <c r="F107" s="15" t="n"/>
      <c r="G107" s="16" t="n"/>
      <c r="H107" s="16" t="n"/>
      <c r="I107" s="16" t="n"/>
      <c r="J107" s="15" t="n"/>
      <c r="K107" s="16" t="n"/>
      <c r="L107" s="17">
        <f>IF(OR(G107="",H107=""),"",ABS(G107-H107))</f>
        <v/>
      </c>
      <c r="M107" s="18">
        <f>IF(OR(K107="",L107="",L107=0),"",IF(D107="Short",(G107-K107)/L107,(K107-G107)/L107))</f>
        <v/>
      </c>
      <c r="N107" s="18">
        <f>IF(M107="","",SUM($M$2:M107))</f>
        <v/>
      </c>
      <c r="O107" s="19" t="n"/>
      <c r="P107" s="15" t="n"/>
      <c r="Q107" s="15" t="n"/>
      <c r="R107" s="15" t="n"/>
      <c r="S107">
        <f>IF(N107="","",MAX(0,MAX($N$2:N107)))</f>
        <v/>
      </c>
      <c r="T107">
        <f>IF(N107="","",S107-N107)</f>
        <v/>
      </c>
      <c r="U107">
        <f>IF(M107="","",IF(M107&lt;0,IF(U106="",1,U106+1),0))</f>
        <v/>
      </c>
    </row>
    <row r="108">
      <c r="A108" s="6">
        <f>IF(B108="","",ROW()-1)</f>
        <v/>
      </c>
      <c r="B108" s="15" t="n"/>
      <c r="C108" s="15" t="n"/>
      <c r="D108" s="15" t="n"/>
      <c r="E108" s="15" t="n"/>
      <c r="F108" s="15" t="n"/>
      <c r="G108" s="16" t="n"/>
      <c r="H108" s="16" t="n"/>
      <c r="I108" s="16" t="n"/>
      <c r="J108" s="15" t="n"/>
      <c r="K108" s="16" t="n"/>
      <c r="L108" s="17">
        <f>IF(OR(G108="",H108=""),"",ABS(G108-H108))</f>
        <v/>
      </c>
      <c r="M108" s="18">
        <f>IF(OR(K108="",L108="",L108=0),"",IF(D108="Short",(G108-K108)/L108,(K108-G108)/L108))</f>
        <v/>
      </c>
      <c r="N108" s="18">
        <f>IF(M108="","",SUM($M$2:M108))</f>
        <v/>
      </c>
      <c r="O108" s="19" t="n"/>
      <c r="P108" s="15" t="n"/>
      <c r="Q108" s="15" t="n"/>
      <c r="R108" s="15" t="n"/>
      <c r="S108">
        <f>IF(N108="","",MAX(0,MAX($N$2:N108)))</f>
        <v/>
      </c>
      <c r="T108">
        <f>IF(N108="","",S108-N108)</f>
        <v/>
      </c>
      <c r="U108">
        <f>IF(M108="","",IF(M108&lt;0,IF(U107="",1,U107+1),0))</f>
        <v/>
      </c>
    </row>
    <row r="109">
      <c r="A109" s="6">
        <f>IF(B109="","",ROW()-1)</f>
        <v/>
      </c>
      <c r="B109" s="15" t="n"/>
      <c r="C109" s="15" t="n"/>
      <c r="D109" s="15" t="n"/>
      <c r="E109" s="15" t="n"/>
      <c r="F109" s="15" t="n"/>
      <c r="G109" s="16" t="n"/>
      <c r="H109" s="16" t="n"/>
      <c r="I109" s="16" t="n"/>
      <c r="J109" s="15" t="n"/>
      <c r="K109" s="16" t="n"/>
      <c r="L109" s="17">
        <f>IF(OR(G109="",H109=""),"",ABS(G109-H109))</f>
        <v/>
      </c>
      <c r="M109" s="18">
        <f>IF(OR(K109="",L109="",L109=0),"",IF(D109="Short",(G109-K109)/L109,(K109-G109)/L109))</f>
        <v/>
      </c>
      <c r="N109" s="18">
        <f>IF(M109="","",SUM($M$2:M109))</f>
        <v/>
      </c>
      <c r="O109" s="19" t="n"/>
      <c r="P109" s="15" t="n"/>
      <c r="Q109" s="15" t="n"/>
      <c r="R109" s="15" t="n"/>
      <c r="S109">
        <f>IF(N109="","",MAX(0,MAX($N$2:N109)))</f>
        <v/>
      </c>
      <c r="T109">
        <f>IF(N109="","",S109-N109)</f>
        <v/>
      </c>
      <c r="U109">
        <f>IF(M109="","",IF(M109&lt;0,IF(U108="",1,U108+1),0))</f>
        <v/>
      </c>
    </row>
    <row r="110">
      <c r="A110" s="6">
        <f>IF(B110="","",ROW()-1)</f>
        <v/>
      </c>
      <c r="B110" s="15" t="n"/>
      <c r="C110" s="15" t="n"/>
      <c r="D110" s="15" t="n"/>
      <c r="E110" s="15" t="n"/>
      <c r="F110" s="15" t="n"/>
      <c r="G110" s="16" t="n"/>
      <c r="H110" s="16" t="n"/>
      <c r="I110" s="16" t="n"/>
      <c r="J110" s="15" t="n"/>
      <c r="K110" s="16" t="n"/>
      <c r="L110" s="17">
        <f>IF(OR(G110="",H110=""),"",ABS(G110-H110))</f>
        <v/>
      </c>
      <c r="M110" s="18">
        <f>IF(OR(K110="",L110="",L110=0),"",IF(D110="Short",(G110-K110)/L110,(K110-G110)/L110))</f>
        <v/>
      </c>
      <c r="N110" s="18">
        <f>IF(M110="","",SUM($M$2:M110))</f>
        <v/>
      </c>
      <c r="O110" s="19" t="n"/>
      <c r="P110" s="15" t="n"/>
      <c r="Q110" s="15" t="n"/>
      <c r="R110" s="15" t="n"/>
      <c r="S110">
        <f>IF(N110="","",MAX(0,MAX($N$2:N110)))</f>
        <v/>
      </c>
      <c r="T110">
        <f>IF(N110="","",S110-N110)</f>
        <v/>
      </c>
      <c r="U110">
        <f>IF(M110="","",IF(M110&lt;0,IF(U109="",1,U109+1),0))</f>
        <v/>
      </c>
    </row>
    <row r="111">
      <c r="A111" s="6">
        <f>IF(B111="","",ROW()-1)</f>
        <v/>
      </c>
      <c r="B111" s="15" t="n"/>
      <c r="C111" s="15" t="n"/>
      <c r="D111" s="15" t="n"/>
      <c r="E111" s="15" t="n"/>
      <c r="F111" s="15" t="n"/>
      <c r="G111" s="16" t="n"/>
      <c r="H111" s="16" t="n"/>
      <c r="I111" s="16" t="n"/>
      <c r="J111" s="15" t="n"/>
      <c r="K111" s="16" t="n"/>
      <c r="L111" s="17">
        <f>IF(OR(G111="",H111=""),"",ABS(G111-H111))</f>
        <v/>
      </c>
      <c r="M111" s="18">
        <f>IF(OR(K111="",L111="",L111=0),"",IF(D111="Short",(G111-K111)/L111,(K111-G111)/L111))</f>
        <v/>
      </c>
      <c r="N111" s="18">
        <f>IF(M111="","",SUM($M$2:M111))</f>
        <v/>
      </c>
      <c r="O111" s="19" t="n"/>
      <c r="P111" s="15" t="n"/>
      <c r="Q111" s="15" t="n"/>
      <c r="R111" s="15" t="n"/>
      <c r="S111">
        <f>IF(N111="","",MAX(0,MAX($N$2:N111)))</f>
        <v/>
      </c>
      <c r="T111">
        <f>IF(N111="","",S111-N111)</f>
        <v/>
      </c>
      <c r="U111">
        <f>IF(M111="","",IF(M111&lt;0,IF(U110="",1,U110+1),0))</f>
        <v/>
      </c>
    </row>
    <row r="112">
      <c r="A112" s="6">
        <f>IF(B112="","",ROW()-1)</f>
        <v/>
      </c>
      <c r="B112" s="15" t="n"/>
      <c r="C112" s="15" t="n"/>
      <c r="D112" s="15" t="n"/>
      <c r="E112" s="15" t="n"/>
      <c r="F112" s="15" t="n"/>
      <c r="G112" s="16" t="n"/>
      <c r="H112" s="16" t="n"/>
      <c r="I112" s="16" t="n"/>
      <c r="J112" s="15" t="n"/>
      <c r="K112" s="16" t="n"/>
      <c r="L112" s="17">
        <f>IF(OR(G112="",H112=""),"",ABS(G112-H112))</f>
        <v/>
      </c>
      <c r="M112" s="18">
        <f>IF(OR(K112="",L112="",L112=0),"",IF(D112="Short",(G112-K112)/L112,(K112-G112)/L112))</f>
        <v/>
      </c>
      <c r="N112" s="18">
        <f>IF(M112="","",SUM($M$2:M112))</f>
        <v/>
      </c>
      <c r="O112" s="19" t="n"/>
      <c r="P112" s="15" t="n"/>
      <c r="Q112" s="15" t="n"/>
      <c r="R112" s="15" t="n"/>
      <c r="S112">
        <f>IF(N112="","",MAX(0,MAX($N$2:N112)))</f>
        <v/>
      </c>
      <c r="T112">
        <f>IF(N112="","",S112-N112)</f>
        <v/>
      </c>
      <c r="U112">
        <f>IF(M112="","",IF(M112&lt;0,IF(U111="",1,U111+1),0))</f>
        <v/>
      </c>
    </row>
    <row r="113">
      <c r="A113" s="6">
        <f>IF(B113="","",ROW()-1)</f>
        <v/>
      </c>
      <c r="B113" s="15" t="n"/>
      <c r="C113" s="15" t="n"/>
      <c r="D113" s="15" t="n"/>
      <c r="E113" s="15" t="n"/>
      <c r="F113" s="15" t="n"/>
      <c r="G113" s="16" t="n"/>
      <c r="H113" s="16" t="n"/>
      <c r="I113" s="16" t="n"/>
      <c r="J113" s="15" t="n"/>
      <c r="K113" s="16" t="n"/>
      <c r="L113" s="17">
        <f>IF(OR(G113="",H113=""),"",ABS(G113-H113))</f>
        <v/>
      </c>
      <c r="M113" s="18">
        <f>IF(OR(K113="",L113="",L113=0),"",IF(D113="Short",(G113-K113)/L113,(K113-G113)/L113))</f>
        <v/>
      </c>
      <c r="N113" s="18">
        <f>IF(M113="","",SUM($M$2:M113))</f>
        <v/>
      </c>
      <c r="O113" s="19" t="n"/>
      <c r="P113" s="15" t="n"/>
      <c r="Q113" s="15" t="n"/>
      <c r="R113" s="15" t="n"/>
      <c r="S113">
        <f>IF(N113="","",MAX(0,MAX($N$2:N113)))</f>
        <v/>
      </c>
      <c r="T113">
        <f>IF(N113="","",S113-N113)</f>
        <v/>
      </c>
      <c r="U113">
        <f>IF(M113="","",IF(M113&lt;0,IF(U112="",1,U112+1),0))</f>
        <v/>
      </c>
    </row>
    <row r="114">
      <c r="A114" s="6">
        <f>IF(B114="","",ROW()-1)</f>
        <v/>
      </c>
      <c r="B114" s="15" t="n"/>
      <c r="C114" s="15" t="n"/>
      <c r="D114" s="15" t="n"/>
      <c r="E114" s="15" t="n"/>
      <c r="F114" s="15" t="n"/>
      <c r="G114" s="16" t="n"/>
      <c r="H114" s="16" t="n"/>
      <c r="I114" s="16" t="n"/>
      <c r="J114" s="15" t="n"/>
      <c r="K114" s="16" t="n"/>
      <c r="L114" s="17">
        <f>IF(OR(G114="",H114=""),"",ABS(G114-H114))</f>
        <v/>
      </c>
      <c r="M114" s="18">
        <f>IF(OR(K114="",L114="",L114=0),"",IF(D114="Short",(G114-K114)/L114,(K114-G114)/L114))</f>
        <v/>
      </c>
      <c r="N114" s="18">
        <f>IF(M114="","",SUM($M$2:M114))</f>
        <v/>
      </c>
      <c r="O114" s="19" t="n"/>
      <c r="P114" s="15" t="n"/>
      <c r="Q114" s="15" t="n"/>
      <c r="R114" s="15" t="n"/>
      <c r="S114">
        <f>IF(N114="","",MAX(0,MAX($N$2:N114)))</f>
        <v/>
      </c>
      <c r="T114">
        <f>IF(N114="","",S114-N114)</f>
        <v/>
      </c>
      <c r="U114">
        <f>IF(M114="","",IF(M114&lt;0,IF(U113="",1,U113+1),0))</f>
        <v/>
      </c>
    </row>
    <row r="115">
      <c r="A115" s="6">
        <f>IF(B115="","",ROW()-1)</f>
        <v/>
      </c>
      <c r="B115" s="15" t="n"/>
      <c r="C115" s="15" t="n"/>
      <c r="D115" s="15" t="n"/>
      <c r="E115" s="15" t="n"/>
      <c r="F115" s="15" t="n"/>
      <c r="G115" s="16" t="n"/>
      <c r="H115" s="16" t="n"/>
      <c r="I115" s="16" t="n"/>
      <c r="J115" s="15" t="n"/>
      <c r="K115" s="16" t="n"/>
      <c r="L115" s="17">
        <f>IF(OR(G115="",H115=""),"",ABS(G115-H115))</f>
        <v/>
      </c>
      <c r="M115" s="18">
        <f>IF(OR(K115="",L115="",L115=0),"",IF(D115="Short",(G115-K115)/L115,(K115-G115)/L115))</f>
        <v/>
      </c>
      <c r="N115" s="18">
        <f>IF(M115="","",SUM($M$2:M115))</f>
        <v/>
      </c>
      <c r="O115" s="19" t="n"/>
      <c r="P115" s="15" t="n"/>
      <c r="Q115" s="15" t="n"/>
      <c r="R115" s="15" t="n"/>
      <c r="S115">
        <f>IF(N115="","",MAX(0,MAX($N$2:N115)))</f>
        <v/>
      </c>
      <c r="T115">
        <f>IF(N115="","",S115-N115)</f>
        <v/>
      </c>
      <c r="U115">
        <f>IF(M115="","",IF(M115&lt;0,IF(U114="",1,U114+1),0))</f>
        <v/>
      </c>
    </row>
    <row r="116">
      <c r="A116" s="6">
        <f>IF(B116="","",ROW()-1)</f>
        <v/>
      </c>
      <c r="B116" s="15" t="n"/>
      <c r="C116" s="15" t="n"/>
      <c r="D116" s="15" t="n"/>
      <c r="E116" s="15" t="n"/>
      <c r="F116" s="15" t="n"/>
      <c r="G116" s="16" t="n"/>
      <c r="H116" s="16" t="n"/>
      <c r="I116" s="16" t="n"/>
      <c r="J116" s="15" t="n"/>
      <c r="K116" s="16" t="n"/>
      <c r="L116" s="17">
        <f>IF(OR(G116="",H116=""),"",ABS(G116-H116))</f>
        <v/>
      </c>
      <c r="M116" s="18">
        <f>IF(OR(K116="",L116="",L116=0),"",IF(D116="Short",(G116-K116)/L116,(K116-G116)/L116))</f>
        <v/>
      </c>
      <c r="N116" s="18">
        <f>IF(M116="","",SUM($M$2:M116))</f>
        <v/>
      </c>
      <c r="O116" s="19" t="n"/>
      <c r="P116" s="15" t="n"/>
      <c r="Q116" s="15" t="n"/>
      <c r="R116" s="15" t="n"/>
      <c r="S116">
        <f>IF(N116="","",MAX(0,MAX($N$2:N116)))</f>
        <v/>
      </c>
      <c r="T116">
        <f>IF(N116="","",S116-N116)</f>
        <v/>
      </c>
      <c r="U116">
        <f>IF(M116="","",IF(M116&lt;0,IF(U115="",1,U115+1),0))</f>
        <v/>
      </c>
    </row>
    <row r="117">
      <c r="A117" s="6">
        <f>IF(B117="","",ROW()-1)</f>
        <v/>
      </c>
      <c r="B117" s="15" t="n"/>
      <c r="C117" s="15" t="n"/>
      <c r="D117" s="15" t="n"/>
      <c r="E117" s="15" t="n"/>
      <c r="F117" s="15" t="n"/>
      <c r="G117" s="16" t="n"/>
      <c r="H117" s="16" t="n"/>
      <c r="I117" s="16" t="n"/>
      <c r="J117" s="15" t="n"/>
      <c r="K117" s="16" t="n"/>
      <c r="L117" s="17">
        <f>IF(OR(G117="",H117=""),"",ABS(G117-H117))</f>
        <v/>
      </c>
      <c r="M117" s="18">
        <f>IF(OR(K117="",L117="",L117=0),"",IF(D117="Short",(G117-K117)/L117,(K117-G117)/L117))</f>
        <v/>
      </c>
      <c r="N117" s="18">
        <f>IF(M117="","",SUM($M$2:M117))</f>
        <v/>
      </c>
      <c r="O117" s="19" t="n"/>
      <c r="P117" s="15" t="n"/>
      <c r="Q117" s="15" t="n"/>
      <c r="R117" s="15" t="n"/>
      <c r="S117">
        <f>IF(N117="","",MAX(0,MAX($N$2:N117)))</f>
        <v/>
      </c>
      <c r="T117">
        <f>IF(N117="","",S117-N117)</f>
        <v/>
      </c>
      <c r="U117">
        <f>IF(M117="","",IF(M117&lt;0,IF(U116="",1,U116+1),0))</f>
        <v/>
      </c>
    </row>
    <row r="118">
      <c r="A118" s="6">
        <f>IF(B118="","",ROW()-1)</f>
        <v/>
      </c>
      <c r="B118" s="15" t="n"/>
      <c r="C118" s="15" t="n"/>
      <c r="D118" s="15" t="n"/>
      <c r="E118" s="15" t="n"/>
      <c r="F118" s="15" t="n"/>
      <c r="G118" s="16" t="n"/>
      <c r="H118" s="16" t="n"/>
      <c r="I118" s="16" t="n"/>
      <c r="J118" s="15" t="n"/>
      <c r="K118" s="16" t="n"/>
      <c r="L118" s="17">
        <f>IF(OR(G118="",H118=""),"",ABS(G118-H118))</f>
        <v/>
      </c>
      <c r="M118" s="18">
        <f>IF(OR(K118="",L118="",L118=0),"",IF(D118="Short",(G118-K118)/L118,(K118-G118)/L118))</f>
        <v/>
      </c>
      <c r="N118" s="18">
        <f>IF(M118="","",SUM($M$2:M118))</f>
        <v/>
      </c>
      <c r="O118" s="19" t="n"/>
      <c r="P118" s="15" t="n"/>
      <c r="Q118" s="15" t="n"/>
      <c r="R118" s="15" t="n"/>
      <c r="S118">
        <f>IF(N118="","",MAX(0,MAX($N$2:N118)))</f>
        <v/>
      </c>
      <c r="T118">
        <f>IF(N118="","",S118-N118)</f>
        <v/>
      </c>
      <c r="U118">
        <f>IF(M118="","",IF(M118&lt;0,IF(U117="",1,U117+1),0))</f>
        <v/>
      </c>
    </row>
    <row r="119">
      <c r="A119" s="6">
        <f>IF(B119="","",ROW()-1)</f>
        <v/>
      </c>
      <c r="B119" s="15" t="n"/>
      <c r="C119" s="15" t="n"/>
      <c r="D119" s="15" t="n"/>
      <c r="E119" s="15" t="n"/>
      <c r="F119" s="15" t="n"/>
      <c r="G119" s="16" t="n"/>
      <c r="H119" s="16" t="n"/>
      <c r="I119" s="16" t="n"/>
      <c r="J119" s="15" t="n"/>
      <c r="K119" s="16" t="n"/>
      <c r="L119" s="17">
        <f>IF(OR(G119="",H119=""),"",ABS(G119-H119))</f>
        <v/>
      </c>
      <c r="M119" s="18">
        <f>IF(OR(K119="",L119="",L119=0),"",IF(D119="Short",(G119-K119)/L119,(K119-G119)/L119))</f>
        <v/>
      </c>
      <c r="N119" s="18">
        <f>IF(M119="","",SUM($M$2:M119))</f>
        <v/>
      </c>
      <c r="O119" s="19" t="n"/>
      <c r="P119" s="15" t="n"/>
      <c r="Q119" s="15" t="n"/>
      <c r="R119" s="15" t="n"/>
      <c r="S119">
        <f>IF(N119="","",MAX(0,MAX($N$2:N119)))</f>
        <v/>
      </c>
      <c r="T119">
        <f>IF(N119="","",S119-N119)</f>
        <v/>
      </c>
      <c r="U119">
        <f>IF(M119="","",IF(M119&lt;0,IF(U118="",1,U118+1),0))</f>
        <v/>
      </c>
    </row>
    <row r="120">
      <c r="A120" s="6">
        <f>IF(B120="","",ROW()-1)</f>
        <v/>
      </c>
      <c r="B120" s="15" t="n"/>
      <c r="C120" s="15" t="n"/>
      <c r="D120" s="15" t="n"/>
      <c r="E120" s="15" t="n"/>
      <c r="F120" s="15" t="n"/>
      <c r="G120" s="16" t="n"/>
      <c r="H120" s="16" t="n"/>
      <c r="I120" s="16" t="n"/>
      <c r="J120" s="15" t="n"/>
      <c r="K120" s="16" t="n"/>
      <c r="L120" s="17">
        <f>IF(OR(G120="",H120=""),"",ABS(G120-H120))</f>
        <v/>
      </c>
      <c r="M120" s="18">
        <f>IF(OR(K120="",L120="",L120=0),"",IF(D120="Short",(G120-K120)/L120,(K120-G120)/L120))</f>
        <v/>
      </c>
      <c r="N120" s="18">
        <f>IF(M120="","",SUM($M$2:M120))</f>
        <v/>
      </c>
      <c r="O120" s="19" t="n"/>
      <c r="P120" s="15" t="n"/>
      <c r="Q120" s="15" t="n"/>
      <c r="R120" s="15" t="n"/>
      <c r="S120">
        <f>IF(N120="","",MAX(0,MAX($N$2:N120)))</f>
        <v/>
      </c>
      <c r="T120">
        <f>IF(N120="","",S120-N120)</f>
        <v/>
      </c>
      <c r="U120">
        <f>IF(M120="","",IF(M120&lt;0,IF(U119="",1,U119+1),0))</f>
        <v/>
      </c>
    </row>
    <row r="121">
      <c r="A121" s="6">
        <f>IF(B121="","",ROW()-1)</f>
        <v/>
      </c>
      <c r="B121" s="15" t="n"/>
      <c r="C121" s="15" t="n"/>
      <c r="D121" s="15" t="n"/>
      <c r="E121" s="15" t="n"/>
      <c r="F121" s="15" t="n"/>
      <c r="G121" s="16" t="n"/>
      <c r="H121" s="16" t="n"/>
      <c r="I121" s="16" t="n"/>
      <c r="J121" s="15" t="n"/>
      <c r="K121" s="16" t="n"/>
      <c r="L121" s="17">
        <f>IF(OR(G121="",H121=""),"",ABS(G121-H121))</f>
        <v/>
      </c>
      <c r="M121" s="18">
        <f>IF(OR(K121="",L121="",L121=0),"",IF(D121="Short",(G121-K121)/L121,(K121-G121)/L121))</f>
        <v/>
      </c>
      <c r="N121" s="18">
        <f>IF(M121="","",SUM($M$2:M121))</f>
        <v/>
      </c>
      <c r="O121" s="19" t="n"/>
      <c r="P121" s="15" t="n"/>
      <c r="Q121" s="15" t="n"/>
      <c r="R121" s="15" t="n"/>
      <c r="S121">
        <f>IF(N121="","",MAX(0,MAX($N$2:N121)))</f>
        <v/>
      </c>
      <c r="T121">
        <f>IF(N121="","",S121-N121)</f>
        <v/>
      </c>
      <c r="U121">
        <f>IF(M121="","",IF(M121&lt;0,IF(U120="",1,U120+1),0))</f>
        <v/>
      </c>
    </row>
    <row r="122">
      <c r="A122" s="6">
        <f>IF(B122="","",ROW()-1)</f>
        <v/>
      </c>
      <c r="B122" s="15" t="n"/>
      <c r="C122" s="15" t="n"/>
      <c r="D122" s="15" t="n"/>
      <c r="E122" s="15" t="n"/>
      <c r="F122" s="15" t="n"/>
      <c r="G122" s="16" t="n"/>
      <c r="H122" s="16" t="n"/>
      <c r="I122" s="16" t="n"/>
      <c r="J122" s="15" t="n"/>
      <c r="K122" s="16" t="n"/>
      <c r="L122" s="17">
        <f>IF(OR(G122="",H122=""),"",ABS(G122-H122))</f>
        <v/>
      </c>
      <c r="M122" s="18">
        <f>IF(OR(K122="",L122="",L122=0),"",IF(D122="Short",(G122-K122)/L122,(K122-G122)/L122))</f>
        <v/>
      </c>
      <c r="N122" s="18">
        <f>IF(M122="","",SUM($M$2:M122))</f>
        <v/>
      </c>
      <c r="O122" s="19" t="n"/>
      <c r="P122" s="15" t="n"/>
      <c r="Q122" s="15" t="n"/>
      <c r="R122" s="15" t="n"/>
      <c r="S122">
        <f>IF(N122="","",MAX(0,MAX($N$2:N122)))</f>
        <v/>
      </c>
      <c r="T122">
        <f>IF(N122="","",S122-N122)</f>
        <v/>
      </c>
      <c r="U122">
        <f>IF(M122="","",IF(M122&lt;0,IF(U121="",1,U121+1),0))</f>
        <v/>
      </c>
    </row>
    <row r="123">
      <c r="A123" s="6">
        <f>IF(B123="","",ROW()-1)</f>
        <v/>
      </c>
      <c r="B123" s="15" t="n"/>
      <c r="C123" s="15" t="n"/>
      <c r="D123" s="15" t="n"/>
      <c r="E123" s="15" t="n"/>
      <c r="F123" s="15" t="n"/>
      <c r="G123" s="16" t="n"/>
      <c r="H123" s="16" t="n"/>
      <c r="I123" s="16" t="n"/>
      <c r="J123" s="15" t="n"/>
      <c r="K123" s="16" t="n"/>
      <c r="L123" s="17">
        <f>IF(OR(G123="",H123=""),"",ABS(G123-H123))</f>
        <v/>
      </c>
      <c r="M123" s="18">
        <f>IF(OR(K123="",L123="",L123=0),"",IF(D123="Short",(G123-K123)/L123,(K123-G123)/L123))</f>
        <v/>
      </c>
      <c r="N123" s="18">
        <f>IF(M123="","",SUM($M$2:M123))</f>
        <v/>
      </c>
      <c r="O123" s="19" t="n"/>
      <c r="P123" s="15" t="n"/>
      <c r="Q123" s="15" t="n"/>
      <c r="R123" s="15" t="n"/>
      <c r="S123">
        <f>IF(N123="","",MAX(0,MAX($N$2:N123)))</f>
        <v/>
      </c>
      <c r="T123">
        <f>IF(N123="","",S123-N123)</f>
        <v/>
      </c>
      <c r="U123">
        <f>IF(M123="","",IF(M123&lt;0,IF(U122="",1,U122+1),0))</f>
        <v/>
      </c>
    </row>
    <row r="124">
      <c r="A124" s="6">
        <f>IF(B124="","",ROW()-1)</f>
        <v/>
      </c>
      <c r="B124" s="15" t="n"/>
      <c r="C124" s="15" t="n"/>
      <c r="D124" s="15" t="n"/>
      <c r="E124" s="15" t="n"/>
      <c r="F124" s="15" t="n"/>
      <c r="G124" s="16" t="n"/>
      <c r="H124" s="16" t="n"/>
      <c r="I124" s="16" t="n"/>
      <c r="J124" s="15" t="n"/>
      <c r="K124" s="16" t="n"/>
      <c r="L124" s="17">
        <f>IF(OR(G124="",H124=""),"",ABS(G124-H124))</f>
        <v/>
      </c>
      <c r="M124" s="18">
        <f>IF(OR(K124="",L124="",L124=0),"",IF(D124="Short",(G124-K124)/L124,(K124-G124)/L124))</f>
        <v/>
      </c>
      <c r="N124" s="18">
        <f>IF(M124="","",SUM($M$2:M124))</f>
        <v/>
      </c>
      <c r="O124" s="19" t="n"/>
      <c r="P124" s="15" t="n"/>
      <c r="Q124" s="15" t="n"/>
      <c r="R124" s="15" t="n"/>
      <c r="S124">
        <f>IF(N124="","",MAX(0,MAX($N$2:N124)))</f>
        <v/>
      </c>
      <c r="T124">
        <f>IF(N124="","",S124-N124)</f>
        <v/>
      </c>
      <c r="U124">
        <f>IF(M124="","",IF(M124&lt;0,IF(U123="",1,U123+1),0))</f>
        <v/>
      </c>
    </row>
    <row r="125">
      <c r="A125" s="6">
        <f>IF(B125="","",ROW()-1)</f>
        <v/>
      </c>
      <c r="B125" s="15" t="n"/>
      <c r="C125" s="15" t="n"/>
      <c r="D125" s="15" t="n"/>
      <c r="E125" s="15" t="n"/>
      <c r="F125" s="15" t="n"/>
      <c r="G125" s="16" t="n"/>
      <c r="H125" s="16" t="n"/>
      <c r="I125" s="16" t="n"/>
      <c r="J125" s="15" t="n"/>
      <c r="K125" s="16" t="n"/>
      <c r="L125" s="17">
        <f>IF(OR(G125="",H125=""),"",ABS(G125-H125))</f>
        <v/>
      </c>
      <c r="M125" s="18">
        <f>IF(OR(K125="",L125="",L125=0),"",IF(D125="Short",(G125-K125)/L125,(K125-G125)/L125))</f>
        <v/>
      </c>
      <c r="N125" s="18">
        <f>IF(M125="","",SUM($M$2:M125))</f>
        <v/>
      </c>
      <c r="O125" s="19" t="n"/>
      <c r="P125" s="15" t="n"/>
      <c r="Q125" s="15" t="n"/>
      <c r="R125" s="15" t="n"/>
      <c r="S125">
        <f>IF(N125="","",MAX(0,MAX($N$2:N125)))</f>
        <v/>
      </c>
      <c r="T125">
        <f>IF(N125="","",S125-N125)</f>
        <v/>
      </c>
      <c r="U125">
        <f>IF(M125="","",IF(M125&lt;0,IF(U124="",1,U124+1),0))</f>
        <v/>
      </c>
    </row>
    <row r="126">
      <c r="A126" s="6">
        <f>IF(B126="","",ROW()-1)</f>
        <v/>
      </c>
      <c r="B126" s="15" t="n"/>
      <c r="C126" s="15" t="n"/>
      <c r="D126" s="15" t="n"/>
      <c r="E126" s="15" t="n"/>
      <c r="F126" s="15" t="n"/>
      <c r="G126" s="16" t="n"/>
      <c r="H126" s="16" t="n"/>
      <c r="I126" s="16" t="n"/>
      <c r="J126" s="15" t="n"/>
      <c r="K126" s="16" t="n"/>
      <c r="L126" s="17">
        <f>IF(OR(G126="",H126=""),"",ABS(G126-H126))</f>
        <v/>
      </c>
      <c r="M126" s="18">
        <f>IF(OR(K126="",L126="",L126=0),"",IF(D126="Short",(G126-K126)/L126,(K126-G126)/L126))</f>
        <v/>
      </c>
      <c r="N126" s="18">
        <f>IF(M126="","",SUM($M$2:M126))</f>
        <v/>
      </c>
      <c r="O126" s="19" t="n"/>
      <c r="P126" s="15" t="n"/>
      <c r="Q126" s="15" t="n"/>
      <c r="R126" s="15" t="n"/>
      <c r="S126">
        <f>IF(N126="","",MAX(0,MAX($N$2:N126)))</f>
        <v/>
      </c>
      <c r="T126">
        <f>IF(N126="","",S126-N126)</f>
        <v/>
      </c>
      <c r="U126">
        <f>IF(M126="","",IF(M126&lt;0,IF(U125="",1,U125+1),0))</f>
        <v/>
      </c>
    </row>
    <row r="127">
      <c r="A127" s="6">
        <f>IF(B127="","",ROW()-1)</f>
        <v/>
      </c>
      <c r="B127" s="15" t="n"/>
      <c r="C127" s="15" t="n"/>
      <c r="D127" s="15" t="n"/>
      <c r="E127" s="15" t="n"/>
      <c r="F127" s="15" t="n"/>
      <c r="G127" s="16" t="n"/>
      <c r="H127" s="16" t="n"/>
      <c r="I127" s="16" t="n"/>
      <c r="J127" s="15" t="n"/>
      <c r="K127" s="16" t="n"/>
      <c r="L127" s="17">
        <f>IF(OR(G127="",H127=""),"",ABS(G127-H127))</f>
        <v/>
      </c>
      <c r="M127" s="18">
        <f>IF(OR(K127="",L127="",L127=0),"",IF(D127="Short",(G127-K127)/L127,(K127-G127)/L127))</f>
        <v/>
      </c>
      <c r="N127" s="18">
        <f>IF(M127="","",SUM($M$2:M127))</f>
        <v/>
      </c>
      <c r="O127" s="19" t="n"/>
      <c r="P127" s="15" t="n"/>
      <c r="Q127" s="15" t="n"/>
      <c r="R127" s="15" t="n"/>
      <c r="S127">
        <f>IF(N127="","",MAX(0,MAX($N$2:N127)))</f>
        <v/>
      </c>
      <c r="T127">
        <f>IF(N127="","",S127-N127)</f>
        <v/>
      </c>
      <c r="U127">
        <f>IF(M127="","",IF(M127&lt;0,IF(U126="",1,U126+1),0))</f>
        <v/>
      </c>
    </row>
    <row r="128">
      <c r="A128" s="6">
        <f>IF(B128="","",ROW()-1)</f>
        <v/>
      </c>
      <c r="B128" s="15" t="n"/>
      <c r="C128" s="15" t="n"/>
      <c r="D128" s="15" t="n"/>
      <c r="E128" s="15" t="n"/>
      <c r="F128" s="15" t="n"/>
      <c r="G128" s="16" t="n"/>
      <c r="H128" s="16" t="n"/>
      <c r="I128" s="16" t="n"/>
      <c r="J128" s="15" t="n"/>
      <c r="K128" s="16" t="n"/>
      <c r="L128" s="17">
        <f>IF(OR(G128="",H128=""),"",ABS(G128-H128))</f>
        <v/>
      </c>
      <c r="M128" s="18">
        <f>IF(OR(K128="",L128="",L128=0),"",IF(D128="Short",(G128-K128)/L128,(K128-G128)/L128))</f>
        <v/>
      </c>
      <c r="N128" s="18">
        <f>IF(M128="","",SUM($M$2:M128))</f>
        <v/>
      </c>
      <c r="O128" s="19" t="n"/>
      <c r="P128" s="15" t="n"/>
      <c r="Q128" s="15" t="n"/>
      <c r="R128" s="15" t="n"/>
      <c r="S128">
        <f>IF(N128="","",MAX(0,MAX($N$2:N128)))</f>
        <v/>
      </c>
      <c r="T128">
        <f>IF(N128="","",S128-N128)</f>
        <v/>
      </c>
      <c r="U128">
        <f>IF(M128="","",IF(M128&lt;0,IF(U127="",1,U127+1),0))</f>
        <v/>
      </c>
    </row>
    <row r="129">
      <c r="A129" s="6">
        <f>IF(B129="","",ROW()-1)</f>
        <v/>
      </c>
      <c r="B129" s="15" t="n"/>
      <c r="C129" s="15" t="n"/>
      <c r="D129" s="15" t="n"/>
      <c r="E129" s="15" t="n"/>
      <c r="F129" s="15" t="n"/>
      <c r="G129" s="16" t="n"/>
      <c r="H129" s="16" t="n"/>
      <c r="I129" s="16" t="n"/>
      <c r="J129" s="15" t="n"/>
      <c r="K129" s="16" t="n"/>
      <c r="L129" s="17">
        <f>IF(OR(G129="",H129=""),"",ABS(G129-H129))</f>
        <v/>
      </c>
      <c r="M129" s="18">
        <f>IF(OR(K129="",L129="",L129=0),"",IF(D129="Short",(G129-K129)/L129,(K129-G129)/L129))</f>
        <v/>
      </c>
      <c r="N129" s="18">
        <f>IF(M129="","",SUM($M$2:M129))</f>
        <v/>
      </c>
      <c r="O129" s="19" t="n"/>
      <c r="P129" s="15" t="n"/>
      <c r="Q129" s="15" t="n"/>
      <c r="R129" s="15" t="n"/>
      <c r="S129">
        <f>IF(N129="","",MAX(0,MAX($N$2:N129)))</f>
        <v/>
      </c>
      <c r="T129">
        <f>IF(N129="","",S129-N129)</f>
        <v/>
      </c>
      <c r="U129">
        <f>IF(M129="","",IF(M129&lt;0,IF(U128="",1,U128+1),0))</f>
        <v/>
      </c>
    </row>
    <row r="130">
      <c r="A130" s="6">
        <f>IF(B130="","",ROW()-1)</f>
        <v/>
      </c>
      <c r="B130" s="15" t="n"/>
      <c r="C130" s="15" t="n"/>
      <c r="D130" s="15" t="n"/>
      <c r="E130" s="15" t="n"/>
      <c r="F130" s="15" t="n"/>
      <c r="G130" s="16" t="n"/>
      <c r="H130" s="16" t="n"/>
      <c r="I130" s="16" t="n"/>
      <c r="J130" s="15" t="n"/>
      <c r="K130" s="16" t="n"/>
      <c r="L130" s="17">
        <f>IF(OR(G130="",H130=""),"",ABS(G130-H130))</f>
        <v/>
      </c>
      <c r="M130" s="18">
        <f>IF(OR(K130="",L130="",L130=0),"",IF(D130="Short",(G130-K130)/L130,(K130-G130)/L130))</f>
        <v/>
      </c>
      <c r="N130" s="18">
        <f>IF(M130="","",SUM($M$2:M130))</f>
        <v/>
      </c>
      <c r="O130" s="19" t="n"/>
      <c r="P130" s="15" t="n"/>
      <c r="Q130" s="15" t="n"/>
      <c r="R130" s="15" t="n"/>
      <c r="S130">
        <f>IF(N130="","",MAX(0,MAX($N$2:N130)))</f>
        <v/>
      </c>
      <c r="T130">
        <f>IF(N130="","",S130-N130)</f>
        <v/>
      </c>
      <c r="U130">
        <f>IF(M130="","",IF(M130&lt;0,IF(U129="",1,U129+1),0))</f>
        <v/>
      </c>
    </row>
    <row r="131">
      <c r="A131" s="6">
        <f>IF(B131="","",ROW()-1)</f>
        <v/>
      </c>
      <c r="B131" s="15" t="n"/>
      <c r="C131" s="15" t="n"/>
      <c r="D131" s="15" t="n"/>
      <c r="E131" s="15" t="n"/>
      <c r="F131" s="15" t="n"/>
      <c r="G131" s="16" t="n"/>
      <c r="H131" s="16" t="n"/>
      <c r="I131" s="16" t="n"/>
      <c r="J131" s="15" t="n"/>
      <c r="K131" s="16" t="n"/>
      <c r="L131" s="17">
        <f>IF(OR(G131="",H131=""),"",ABS(G131-H131))</f>
        <v/>
      </c>
      <c r="M131" s="18">
        <f>IF(OR(K131="",L131="",L131=0),"",IF(D131="Short",(G131-K131)/L131,(K131-G131)/L131))</f>
        <v/>
      </c>
      <c r="N131" s="18">
        <f>IF(M131="","",SUM($M$2:M131))</f>
        <v/>
      </c>
      <c r="O131" s="19" t="n"/>
      <c r="P131" s="15" t="n"/>
      <c r="Q131" s="15" t="n"/>
      <c r="R131" s="15" t="n"/>
      <c r="S131">
        <f>IF(N131="","",MAX(0,MAX($N$2:N131)))</f>
        <v/>
      </c>
      <c r="T131">
        <f>IF(N131="","",S131-N131)</f>
        <v/>
      </c>
      <c r="U131">
        <f>IF(M131="","",IF(M131&lt;0,IF(U130="",1,U130+1),0))</f>
        <v/>
      </c>
    </row>
    <row r="132">
      <c r="A132" s="6">
        <f>IF(B132="","",ROW()-1)</f>
        <v/>
      </c>
      <c r="B132" s="15" t="n"/>
      <c r="C132" s="15" t="n"/>
      <c r="D132" s="15" t="n"/>
      <c r="E132" s="15" t="n"/>
      <c r="F132" s="15" t="n"/>
      <c r="G132" s="16" t="n"/>
      <c r="H132" s="16" t="n"/>
      <c r="I132" s="16" t="n"/>
      <c r="J132" s="15" t="n"/>
      <c r="K132" s="16" t="n"/>
      <c r="L132" s="17">
        <f>IF(OR(G132="",H132=""),"",ABS(G132-H132))</f>
        <v/>
      </c>
      <c r="M132" s="18">
        <f>IF(OR(K132="",L132="",L132=0),"",IF(D132="Short",(G132-K132)/L132,(K132-G132)/L132))</f>
        <v/>
      </c>
      <c r="N132" s="18">
        <f>IF(M132="","",SUM($M$2:M132))</f>
        <v/>
      </c>
      <c r="O132" s="19" t="n"/>
      <c r="P132" s="15" t="n"/>
      <c r="Q132" s="15" t="n"/>
      <c r="R132" s="15" t="n"/>
      <c r="S132">
        <f>IF(N132="","",MAX(0,MAX($N$2:N132)))</f>
        <v/>
      </c>
      <c r="T132">
        <f>IF(N132="","",S132-N132)</f>
        <v/>
      </c>
      <c r="U132">
        <f>IF(M132="","",IF(M132&lt;0,IF(U131="",1,U131+1),0))</f>
        <v/>
      </c>
    </row>
    <row r="133">
      <c r="A133" s="6">
        <f>IF(B133="","",ROW()-1)</f>
        <v/>
      </c>
      <c r="B133" s="15" t="n"/>
      <c r="C133" s="15" t="n"/>
      <c r="D133" s="15" t="n"/>
      <c r="E133" s="15" t="n"/>
      <c r="F133" s="15" t="n"/>
      <c r="G133" s="16" t="n"/>
      <c r="H133" s="16" t="n"/>
      <c r="I133" s="16" t="n"/>
      <c r="J133" s="15" t="n"/>
      <c r="K133" s="16" t="n"/>
      <c r="L133" s="17">
        <f>IF(OR(G133="",H133=""),"",ABS(G133-H133))</f>
        <v/>
      </c>
      <c r="M133" s="18">
        <f>IF(OR(K133="",L133="",L133=0),"",IF(D133="Short",(G133-K133)/L133,(K133-G133)/L133))</f>
        <v/>
      </c>
      <c r="N133" s="18">
        <f>IF(M133="","",SUM($M$2:M133))</f>
        <v/>
      </c>
      <c r="O133" s="19" t="n"/>
      <c r="P133" s="15" t="n"/>
      <c r="Q133" s="15" t="n"/>
      <c r="R133" s="15" t="n"/>
      <c r="S133">
        <f>IF(N133="","",MAX(0,MAX($N$2:N133)))</f>
        <v/>
      </c>
      <c r="T133">
        <f>IF(N133="","",S133-N133)</f>
        <v/>
      </c>
      <c r="U133">
        <f>IF(M133="","",IF(M133&lt;0,IF(U132="",1,U132+1),0))</f>
        <v/>
      </c>
    </row>
    <row r="134">
      <c r="A134" s="6">
        <f>IF(B134="","",ROW()-1)</f>
        <v/>
      </c>
      <c r="B134" s="15" t="n"/>
      <c r="C134" s="15" t="n"/>
      <c r="D134" s="15" t="n"/>
      <c r="E134" s="15" t="n"/>
      <c r="F134" s="15" t="n"/>
      <c r="G134" s="16" t="n"/>
      <c r="H134" s="16" t="n"/>
      <c r="I134" s="16" t="n"/>
      <c r="J134" s="15" t="n"/>
      <c r="K134" s="16" t="n"/>
      <c r="L134" s="17">
        <f>IF(OR(G134="",H134=""),"",ABS(G134-H134))</f>
        <v/>
      </c>
      <c r="M134" s="18">
        <f>IF(OR(K134="",L134="",L134=0),"",IF(D134="Short",(G134-K134)/L134,(K134-G134)/L134))</f>
        <v/>
      </c>
      <c r="N134" s="18">
        <f>IF(M134="","",SUM($M$2:M134))</f>
        <v/>
      </c>
      <c r="O134" s="19" t="n"/>
      <c r="P134" s="15" t="n"/>
      <c r="Q134" s="15" t="n"/>
      <c r="R134" s="15" t="n"/>
      <c r="S134">
        <f>IF(N134="","",MAX(0,MAX($N$2:N134)))</f>
        <v/>
      </c>
      <c r="T134">
        <f>IF(N134="","",S134-N134)</f>
        <v/>
      </c>
      <c r="U134">
        <f>IF(M134="","",IF(M134&lt;0,IF(U133="",1,U133+1),0))</f>
        <v/>
      </c>
    </row>
    <row r="135">
      <c r="A135" s="6">
        <f>IF(B135="","",ROW()-1)</f>
        <v/>
      </c>
      <c r="B135" s="15" t="n"/>
      <c r="C135" s="15" t="n"/>
      <c r="D135" s="15" t="n"/>
      <c r="E135" s="15" t="n"/>
      <c r="F135" s="15" t="n"/>
      <c r="G135" s="16" t="n"/>
      <c r="H135" s="16" t="n"/>
      <c r="I135" s="16" t="n"/>
      <c r="J135" s="15" t="n"/>
      <c r="K135" s="16" t="n"/>
      <c r="L135" s="17">
        <f>IF(OR(G135="",H135=""),"",ABS(G135-H135))</f>
        <v/>
      </c>
      <c r="M135" s="18">
        <f>IF(OR(K135="",L135="",L135=0),"",IF(D135="Short",(G135-K135)/L135,(K135-G135)/L135))</f>
        <v/>
      </c>
      <c r="N135" s="18">
        <f>IF(M135="","",SUM($M$2:M135))</f>
        <v/>
      </c>
      <c r="O135" s="19" t="n"/>
      <c r="P135" s="15" t="n"/>
      <c r="Q135" s="15" t="n"/>
      <c r="R135" s="15" t="n"/>
      <c r="S135">
        <f>IF(N135="","",MAX(0,MAX($N$2:N135)))</f>
        <v/>
      </c>
      <c r="T135">
        <f>IF(N135="","",S135-N135)</f>
        <v/>
      </c>
      <c r="U135">
        <f>IF(M135="","",IF(M135&lt;0,IF(U134="",1,U134+1),0))</f>
        <v/>
      </c>
    </row>
    <row r="136">
      <c r="A136" s="6">
        <f>IF(B136="","",ROW()-1)</f>
        <v/>
      </c>
      <c r="B136" s="15" t="n"/>
      <c r="C136" s="15" t="n"/>
      <c r="D136" s="15" t="n"/>
      <c r="E136" s="15" t="n"/>
      <c r="F136" s="15" t="n"/>
      <c r="G136" s="16" t="n"/>
      <c r="H136" s="16" t="n"/>
      <c r="I136" s="16" t="n"/>
      <c r="J136" s="15" t="n"/>
      <c r="K136" s="16" t="n"/>
      <c r="L136" s="17">
        <f>IF(OR(G136="",H136=""),"",ABS(G136-H136))</f>
        <v/>
      </c>
      <c r="M136" s="18">
        <f>IF(OR(K136="",L136="",L136=0),"",IF(D136="Short",(G136-K136)/L136,(K136-G136)/L136))</f>
        <v/>
      </c>
      <c r="N136" s="18">
        <f>IF(M136="","",SUM($M$2:M136))</f>
        <v/>
      </c>
      <c r="O136" s="19" t="n"/>
      <c r="P136" s="15" t="n"/>
      <c r="Q136" s="15" t="n"/>
      <c r="R136" s="15" t="n"/>
      <c r="S136">
        <f>IF(N136="","",MAX(0,MAX($N$2:N136)))</f>
        <v/>
      </c>
      <c r="T136">
        <f>IF(N136="","",S136-N136)</f>
        <v/>
      </c>
      <c r="U136">
        <f>IF(M136="","",IF(M136&lt;0,IF(U135="",1,U135+1),0))</f>
        <v/>
      </c>
    </row>
    <row r="137">
      <c r="A137" s="6">
        <f>IF(B137="","",ROW()-1)</f>
        <v/>
      </c>
      <c r="B137" s="15" t="n"/>
      <c r="C137" s="15" t="n"/>
      <c r="D137" s="15" t="n"/>
      <c r="E137" s="15" t="n"/>
      <c r="F137" s="15" t="n"/>
      <c r="G137" s="16" t="n"/>
      <c r="H137" s="16" t="n"/>
      <c r="I137" s="16" t="n"/>
      <c r="J137" s="15" t="n"/>
      <c r="K137" s="16" t="n"/>
      <c r="L137" s="17">
        <f>IF(OR(G137="",H137=""),"",ABS(G137-H137))</f>
        <v/>
      </c>
      <c r="M137" s="18">
        <f>IF(OR(K137="",L137="",L137=0),"",IF(D137="Short",(G137-K137)/L137,(K137-G137)/L137))</f>
        <v/>
      </c>
      <c r="N137" s="18">
        <f>IF(M137="","",SUM($M$2:M137))</f>
        <v/>
      </c>
      <c r="O137" s="19" t="n"/>
      <c r="P137" s="15" t="n"/>
      <c r="Q137" s="15" t="n"/>
      <c r="R137" s="15" t="n"/>
      <c r="S137">
        <f>IF(N137="","",MAX(0,MAX($N$2:N137)))</f>
        <v/>
      </c>
      <c r="T137">
        <f>IF(N137="","",S137-N137)</f>
        <v/>
      </c>
      <c r="U137">
        <f>IF(M137="","",IF(M137&lt;0,IF(U136="",1,U136+1),0))</f>
        <v/>
      </c>
    </row>
    <row r="138">
      <c r="A138" s="6">
        <f>IF(B138="","",ROW()-1)</f>
        <v/>
      </c>
      <c r="B138" s="15" t="n"/>
      <c r="C138" s="15" t="n"/>
      <c r="D138" s="15" t="n"/>
      <c r="E138" s="15" t="n"/>
      <c r="F138" s="15" t="n"/>
      <c r="G138" s="16" t="n"/>
      <c r="H138" s="16" t="n"/>
      <c r="I138" s="16" t="n"/>
      <c r="J138" s="15" t="n"/>
      <c r="K138" s="16" t="n"/>
      <c r="L138" s="17">
        <f>IF(OR(G138="",H138=""),"",ABS(G138-H138))</f>
        <v/>
      </c>
      <c r="M138" s="18">
        <f>IF(OR(K138="",L138="",L138=0),"",IF(D138="Short",(G138-K138)/L138,(K138-G138)/L138))</f>
        <v/>
      </c>
      <c r="N138" s="18">
        <f>IF(M138="","",SUM($M$2:M138))</f>
        <v/>
      </c>
      <c r="O138" s="19" t="n"/>
      <c r="P138" s="15" t="n"/>
      <c r="Q138" s="15" t="n"/>
      <c r="R138" s="15" t="n"/>
      <c r="S138">
        <f>IF(N138="","",MAX(0,MAX($N$2:N138)))</f>
        <v/>
      </c>
      <c r="T138">
        <f>IF(N138="","",S138-N138)</f>
        <v/>
      </c>
      <c r="U138">
        <f>IF(M138="","",IF(M138&lt;0,IF(U137="",1,U137+1),0))</f>
        <v/>
      </c>
    </row>
    <row r="139">
      <c r="A139" s="6">
        <f>IF(B139="","",ROW()-1)</f>
        <v/>
      </c>
      <c r="B139" s="15" t="n"/>
      <c r="C139" s="15" t="n"/>
      <c r="D139" s="15" t="n"/>
      <c r="E139" s="15" t="n"/>
      <c r="F139" s="15" t="n"/>
      <c r="G139" s="16" t="n"/>
      <c r="H139" s="16" t="n"/>
      <c r="I139" s="16" t="n"/>
      <c r="J139" s="15" t="n"/>
      <c r="K139" s="16" t="n"/>
      <c r="L139" s="17">
        <f>IF(OR(G139="",H139=""),"",ABS(G139-H139))</f>
        <v/>
      </c>
      <c r="M139" s="18">
        <f>IF(OR(K139="",L139="",L139=0),"",IF(D139="Short",(G139-K139)/L139,(K139-G139)/L139))</f>
        <v/>
      </c>
      <c r="N139" s="18">
        <f>IF(M139="","",SUM($M$2:M139))</f>
        <v/>
      </c>
      <c r="O139" s="19" t="n"/>
      <c r="P139" s="15" t="n"/>
      <c r="Q139" s="15" t="n"/>
      <c r="R139" s="15" t="n"/>
      <c r="S139">
        <f>IF(N139="","",MAX(0,MAX($N$2:N139)))</f>
        <v/>
      </c>
      <c r="T139">
        <f>IF(N139="","",S139-N139)</f>
        <v/>
      </c>
      <c r="U139">
        <f>IF(M139="","",IF(M139&lt;0,IF(U138="",1,U138+1),0))</f>
        <v/>
      </c>
    </row>
    <row r="140">
      <c r="A140" s="6">
        <f>IF(B140="","",ROW()-1)</f>
        <v/>
      </c>
      <c r="B140" s="15" t="n"/>
      <c r="C140" s="15" t="n"/>
      <c r="D140" s="15" t="n"/>
      <c r="E140" s="15" t="n"/>
      <c r="F140" s="15" t="n"/>
      <c r="G140" s="16" t="n"/>
      <c r="H140" s="16" t="n"/>
      <c r="I140" s="16" t="n"/>
      <c r="J140" s="15" t="n"/>
      <c r="K140" s="16" t="n"/>
      <c r="L140" s="17">
        <f>IF(OR(G140="",H140=""),"",ABS(G140-H140))</f>
        <v/>
      </c>
      <c r="M140" s="18">
        <f>IF(OR(K140="",L140="",L140=0),"",IF(D140="Short",(G140-K140)/L140,(K140-G140)/L140))</f>
        <v/>
      </c>
      <c r="N140" s="18">
        <f>IF(M140="","",SUM($M$2:M140))</f>
        <v/>
      </c>
      <c r="O140" s="19" t="n"/>
      <c r="P140" s="15" t="n"/>
      <c r="Q140" s="15" t="n"/>
      <c r="R140" s="15" t="n"/>
      <c r="S140">
        <f>IF(N140="","",MAX(0,MAX($N$2:N140)))</f>
        <v/>
      </c>
      <c r="T140">
        <f>IF(N140="","",S140-N140)</f>
        <v/>
      </c>
      <c r="U140">
        <f>IF(M140="","",IF(M140&lt;0,IF(U139="",1,U139+1),0))</f>
        <v/>
      </c>
    </row>
    <row r="141">
      <c r="A141" s="6">
        <f>IF(B141="","",ROW()-1)</f>
        <v/>
      </c>
      <c r="B141" s="15" t="n"/>
      <c r="C141" s="15" t="n"/>
      <c r="D141" s="15" t="n"/>
      <c r="E141" s="15" t="n"/>
      <c r="F141" s="15" t="n"/>
      <c r="G141" s="16" t="n"/>
      <c r="H141" s="16" t="n"/>
      <c r="I141" s="16" t="n"/>
      <c r="J141" s="15" t="n"/>
      <c r="K141" s="16" t="n"/>
      <c r="L141" s="17">
        <f>IF(OR(G141="",H141=""),"",ABS(G141-H141))</f>
        <v/>
      </c>
      <c r="M141" s="18">
        <f>IF(OR(K141="",L141="",L141=0),"",IF(D141="Short",(G141-K141)/L141,(K141-G141)/L141))</f>
        <v/>
      </c>
      <c r="N141" s="18">
        <f>IF(M141="","",SUM($M$2:M141))</f>
        <v/>
      </c>
      <c r="O141" s="19" t="n"/>
      <c r="P141" s="15" t="n"/>
      <c r="Q141" s="15" t="n"/>
      <c r="R141" s="15" t="n"/>
      <c r="S141">
        <f>IF(N141="","",MAX(0,MAX($N$2:N141)))</f>
        <v/>
      </c>
      <c r="T141">
        <f>IF(N141="","",S141-N141)</f>
        <v/>
      </c>
      <c r="U141">
        <f>IF(M141="","",IF(M141&lt;0,IF(U140="",1,U140+1),0))</f>
        <v/>
      </c>
    </row>
    <row r="142">
      <c r="A142" s="6">
        <f>IF(B142="","",ROW()-1)</f>
        <v/>
      </c>
      <c r="B142" s="15" t="n"/>
      <c r="C142" s="15" t="n"/>
      <c r="D142" s="15" t="n"/>
      <c r="E142" s="15" t="n"/>
      <c r="F142" s="15" t="n"/>
      <c r="G142" s="16" t="n"/>
      <c r="H142" s="16" t="n"/>
      <c r="I142" s="16" t="n"/>
      <c r="J142" s="15" t="n"/>
      <c r="K142" s="16" t="n"/>
      <c r="L142" s="17">
        <f>IF(OR(G142="",H142=""),"",ABS(G142-H142))</f>
        <v/>
      </c>
      <c r="M142" s="18">
        <f>IF(OR(K142="",L142="",L142=0),"",IF(D142="Short",(G142-K142)/L142,(K142-G142)/L142))</f>
        <v/>
      </c>
      <c r="N142" s="18">
        <f>IF(M142="","",SUM($M$2:M142))</f>
        <v/>
      </c>
      <c r="O142" s="19" t="n"/>
      <c r="P142" s="15" t="n"/>
      <c r="Q142" s="15" t="n"/>
      <c r="R142" s="15" t="n"/>
      <c r="S142">
        <f>IF(N142="","",MAX(0,MAX($N$2:N142)))</f>
        <v/>
      </c>
      <c r="T142">
        <f>IF(N142="","",S142-N142)</f>
        <v/>
      </c>
      <c r="U142">
        <f>IF(M142="","",IF(M142&lt;0,IF(U141="",1,U141+1),0))</f>
        <v/>
      </c>
    </row>
    <row r="143">
      <c r="A143" s="6">
        <f>IF(B143="","",ROW()-1)</f>
        <v/>
      </c>
      <c r="B143" s="15" t="n"/>
      <c r="C143" s="15" t="n"/>
      <c r="D143" s="15" t="n"/>
      <c r="E143" s="15" t="n"/>
      <c r="F143" s="15" t="n"/>
      <c r="G143" s="16" t="n"/>
      <c r="H143" s="16" t="n"/>
      <c r="I143" s="16" t="n"/>
      <c r="J143" s="15" t="n"/>
      <c r="K143" s="16" t="n"/>
      <c r="L143" s="17">
        <f>IF(OR(G143="",H143=""),"",ABS(G143-H143))</f>
        <v/>
      </c>
      <c r="M143" s="18">
        <f>IF(OR(K143="",L143="",L143=0),"",IF(D143="Short",(G143-K143)/L143,(K143-G143)/L143))</f>
        <v/>
      </c>
      <c r="N143" s="18">
        <f>IF(M143="","",SUM($M$2:M143))</f>
        <v/>
      </c>
      <c r="O143" s="19" t="n"/>
      <c r="P143" s="15" t="n"/>
      <c r="Q143" s="15" t="n"/>
      <c r="R143" s="15" t="n"/>
      <c r="S143">
        <f>IF(N143="","",MAX(0,MAX($N$2:N143)))</f>
        <v/>
      </c>
      <c r="T143">
        <f>IF(N143="","",S143-N143)</f>
        <v/>
      </c>
      <c r="U143">
        <f>IF(M143="","",IF(M143&lt;0,IF(U142="",1,U142+1),0))</f>
        <v/>
      </c>
    </row>
    <row r="144">
      <c r="A144" s="6">
        <f>IF(B144="","",ROW()-1)</f>
        <v/>
      </c>
      <c r="B144" s="15" t="n"/>
      <c r="C144" s="15" t="n"/>
      <c r="D144" s="15" t="n"/>
      <c r="E144" s="15" t="n"/>
      <c r="F144" s="15" t="n"/>
      <c r="G144" s="16" t="n"/>
      <c r="H144" s="16" t="n"/>
      <c r="I144" s="16" t="n"/>
      <c r="J144" s="15" t="n"/>
      <c r="K144" s="16" t="n"/>
      <c r="L144" s="17">
        <f>IF(OR(G144="",H144=""),"",ABS(G144-H144))</f>
        <v/>
      </c>
      <c r="M144" s="18">
        <f>IF(OR(K144="",L144="",L144=0),"",IF(D144="Short",(G144-K144)/L144,(K144-G144)/L144))</f>
        <v/>
      </c>
      <c r="N144" s="18">
        <f>IF(M144="","",SUM($M$2:M144))</f>
        <v/>
      </c>
      <c r="O144" s="19" t="n"/>
      <c r="P144" s="15" t="n"/>
      <c r="Q144" s="15" t="n"/>
      <c r="R144" s="15" t="n"/>
      <c r="S144">
        <f>IF(N144="","",MAX(0,MAX($N$2:N144)))</f>
        <v/>
      </c>
      <c r="T144">
        <f>IF(N144="","",S144-N144)</f>
        <v/>
      </c>
      <c r="U144">
        <f>IF(M144="","",IF(M144&lt;0,IF(U143="",1,U143+1),0))</f>
        <v/>
      </c>
    </row>
    <row r="145">
      <c r="A145" s="6">
        <f>IF(B145="","",ROW()-1)</f>
        <v/>
      </c>
      <c r="B145" s="15" t="n"/>
      <c r="C145" s="15" t="n"/>
      <c r="D145" s="15" t="n"/>
      <c r="E145" s="15" t="n"/>
      <c r="F145" s="15" t="n"/>
      <c r="G145" s="16" t="n"/>
      <c r="H145" s="16" t="n"/>
      <c r="I145" s="16" t="n"/>
      <c r="J145" s="15" t="n"/>
      <c r="K145" s="16" t="n"/>
      <c r="L145" s="17">
        <f>IF(OR(G145="",H145=""),"",ABS(G145-H145))</f>
        <v/>
      </c>
      <c r="M145" s="18">
        <f>IF(OR(K145="",L145="",L145=0),"",IF(D145="Short",(G145-K145)/L145,(K145-G145)/L145))</f>
        <v/>
      </c>
      <c r="N145" s="18">
        <f>IF(M145="","",SUM($M$2:M145))</f>
        <v/>
      </c>
      <c r="O145" s="19" t="n"/>
      <c r="P145" s="15" t="n"/>
      <c r="Q145" s="15" t="n"/>
      <c r="R145" s="15" t="n"/>
      <c r="S145">
        <f>IF(N145="","",MAX(0,MAX($N$2:N145)))</f>
        <v/>
      </c>
      <c r="T145">
        <f>IF(N145="","",S145-N145)</f>
        <v/>
      </c>
      <c r="U145">
        <f>IF(M145="","",IF(M145&lt;0,IF(U144="",1,U144+1),0))</f>
        <v/>
      </c>
    </row>
    <row r="146">
      <c r="A146" s="6">
        <f>IF(B146="","",ROW()-1)</f>
        <v/>
      </c>
      <c r="B146" s="15" t="n"/>
      <c r="C146" s="15" t="n"/>
      <c r="D146" s="15" t="n"/>
      <c r="E146" s="15" t="n"/>
      <c r="F146" s="15" t="n"/>
      <c r="G146" s="16" t="n"/>
      <c r="H146" s="16" t="n"/>
      <c r="I146" s="16" t="n"/>
      <c r="J146" s="15" t="n"/>
      <c r="K146" s="16" t="n"/>
      <c r="L146" s="17">
        <f>IF(OR(G146="",H146=""),"",ABS(G146-H146))</f>
        <v/>
      </c>
      <c r="M146" s="18">
        <f>IF(OR(K146="",L146="",L146=0),"",IF(D146="Short",(G146-K146)/L146,(K146-G146)/L146))</f>
        <v/>
      </c>
      <c r="N146" s="18">
        <f>IF(M146="","",SUM($M$2:M146))</f>
        <v/>
      </c>
      <c r="O146" s="19" t="n"/>
      <c r="P146" s="15" t="n"/>
      <c r="Q146" s="15" t="n"/>
      <c r="R146" s="15" t="n"/>
      <c r="S146">
        <f>IF(N146="","",MAX(0,MAX($N$2:N146)))</f>
        <v/>
      </c>
      <c r="T146">
        <f>IF(N146="","",S146-N146)</f>
        <v/>
      </c>
      <c r="U146">
        <f>IF(M146="","",IF(M146&lt;0,IF(U145="",1,U145+1),0))</f>
        <v/>
      </c>
    </row>
    <row r="147">
      <c r="A147" s="6">
        <f>IF(B147="","",ROW()-1)</f>
        <v/>
      </c>
      <c r="B147" s="15" t="n"/>
      <c r="C147" s="15" t="n"/>
      <c r="D147" s="15" t="n"/>
      <c r="E147" s="15" t="n"/>
      <c r="F147" s="15" t="n"/>
      <c r="G147" s="16" t="n"/>
      <c r="H147" s="16" t="n"/>
      <c r="I147" s="16" t="n"/>
      <c r="J147" s="15" t="n"/>
      <c r="K147" s="16" t="n"/>
      <c r="L147" s="17">
        <f>IF(OR(G147="",H147=""),"",ABS(G147-H147))</f>
        <v/>
      </c>
      <c r="M147" s="18">
        <f>IF(OR(K147="",L147="",L147=0),"",IF(D147="Short",(G147-K147)/L147,(K147-G147)/L147))</f>
        <v/>
      </c>
      <c r="N147" s="18">
        <f>IF(M147="","",SUM($M$2:M147))</f>
        <v/>
      </c>
      <c r="O147" s="19" t="n"/>
      <c r="P147" s="15" t="n"/>
      <c r="Q147" s="15" t="n"/>
      <c r="R147" s="15" t="n"/>
      <c r="S147">
        <f>IF(N147="","",MAX(0,MAX($N$2:N147)))</f>
        <v/>
      </c>
      <c r="T147">
        <f>IF(N147="","",S147-N147)</f>
        <v/>
      </c>
      <c r="U147">
        <f>IF(M147="","",IF(M147&lt;0,IF(U146="",1,U146+1),0))</f>
        <v/>
      </c>
    </row>
    <row r="148">
      <c r="A148" s="6">
        <f>IF(B148="","",ROW()-1)</f>
        <v/>
      </c>
      <c r="B148" s="15" t="n"/>
      <c r="C148" s="15" t="n"/>
      <c r="D148" s="15" t="n"/>
      <c r="E148" s="15" t="n"/>
      <c r="F148" s="15" t="n"/>
      <c r="G148" s="16" t="n"/>
      <c r="H148" s="16" t="n"/>
      <c r="I148" s="16" t="n"/>
      <c r="J148" s="15" t="n"/>
      <c r="K148" s="16" t="n"/>
      <c r="L148" s="17">
        <f>IF(OR(G148="",H148=""),"",ABS(G148-H148))</f>
        <v/>
      </c>
      <c r="M148" s="18">
        <f>IF(OR(K148="",L148="",L148=0),"",IF(D148="Short",(G148-K148)/L148,(K148-G148)/L148))</f>
        <v/>
      </c>
      <c r="N148" s="18">
        <f>IF(M148="","",SUM($M$2:M148))</f>
        <v/>
      </c>
      <c r="O148" s="19" t="n"/>
      <c r="P148" s="15" t="n"/>
      <c r="Q148" s="15" t="n"/>
      <c r="R148" s="15" t="n"/>
      <c r="S148">
        <f>IF(N148="","",MAX(0,MAX($N$2:N148)))</f>
        <v/>
      </c>
      <c r="T148">
        <f>IF(N148="","",S148-N148)</f>
        <v/>
      </c>
      <c r="U148">
        <f>IF(M148="","",IF(M148&lt;0,IF(U147="",1,U147+1),0))</f>
        <v/>
      </c>
    </row>
    <row r="149">
      <c r="A149" s="6">
        <f>IF(B149="","",ROW()-1)</f>
        <v/>
      </c>
      <c r="B149" s="15" t="n"/>
      <c r="C149" s="15" t="n"/>
      <c r="D149" s="15" t="n"/>
      <c r="E149" s="15" t="n"/>
      <c r="F149" s="15" t="n"/>
      <c r="G149" s="16" t="n"/>
      <c r="H149" s="16" t="n"/>
      <c r="I149" s="16" t="n"/>
      <c r="J149" s="15" t="n"/>
      <c r="K149" s="16" t="n"/>
      <c r="L149" s="17">
        <f>IF(OR(G149="",H149=""),"",ABS(G149-H149))</f>
        <v/>
      </c>
      <c r="M149" s="18">
        <f>IF(OR(K149="",L149="",L149=0),"",IF(D149="Short",(G149-K149)/L149,(K149-G149)/L149))</f>
        <v/>
      </c>
      <c r="N149" s="18">
        <f>IF(M149="","",SUM($M$2:M149))</f>
        <v/>
      </c>
      <c r="O149" s="19" t="n"/>
      <c r="P149" s="15" t="n"/>
      <c r="Q149" s="15" t="n"/>
      <c r="R149" s="15" t="n"/>
      <c r="S149">
        <f>IF(N149="","",MAX(0,MAX($N$2:N149)))</f>
        <v/>
      </c>
      <c r="T149">
        <f>IF(N149="","",S149-N149)</f>
        <v/>
      </c>
      <c r="U149">
        <f>IF(M149="","",IF(M149&lt;0,IF(U148="",1,U148+1),0))</f>
        <v/>
      </c>
    </row>
    <row r="150">
      <c r="A150" s="6">
        <f>IF(B150="","",ROW()-1)</f>
        <v/>
      </c>
      <c r="B150" s="15" t="n"/>
      <c r="C150" s="15" t="n"/>
      <c r="D150" s="15" t="n"/>
      <c r="E150" s="15" t="n"/>
      <c r="F150" s="15" t="n"/>
      <c r="G150" s="16" t="n"/>
      <c r="H150" s="16" t="n"/>
      <c r="I150" s="16" t="n"/>
      <c r="J150" s="15" t="n"/>
      <c r="K150" s="16" t="n"/>
      <c r="L150" s="17">
        <f>IF(OR(G150="",H150=""),"",ABS(G150-H150))</f>
        <v/>
      </c>
      <c r="M150" s="18">
        <f>IF(OR(K150="",L150="",L150=0),"",IF(D150="Short",(G150-K150)/L150,(K150-G150)/L150))</f>
        <v/>
      </c>
      <c r="N150" s="18">
        <f>IF(M150="","",SUM($M$2:M150))</f>
        <v/>
      </c>
      <c r="O150" s="19" t="n"/>
      <c r="P150" s="15" t="n"/>
      <c r="Q150" s="15" t="n"/>
      <c r="R150" s="15" t="n"/>
      <c r="S150">
        <f>IF(N150="","",MAX(0,MAX($N$2:N150)))</f>
        <v/>
      </c>
      <c r="T150">
        <f>IF(N150="","",S150-N150)</f>
        <v/>
      </c>
      <c r="U150">
        <f>IF(M150="","",IF(M150&lt;0,IF(U149="",1,U149+1),0))</f>
        <v/>
      </c>
    </row>
    <row r="151">
      <c r="A151" s="6">
        <f>IF(B151="","",ROW()-1)</f>
        <v/>
      </c>
      <c r="B151" s="15" t="n"/>
      <c r="C151" s="15" t="n"/>
      <c r="D151" s="15" t="n"/>
      <c r="E151" s="15" t="n"/>
      <c r="F151" s="15" t="n"/>
      <c r="G151" s="16" t="n"/>
      <c r="H151" s="16" t="n"/>
      <c r="I151" s="16" t="n"/>
      <c r="J151" s="15" t="n"/>
      <c r="K151" s="16" t="n"/>
      <c r="L151" s="17">
        <f>IF(OR(G151="",H151=""),"",ABS(G151-H151))</f>
        <v/>
      </c>
      <c r="M151" s="18">
        <f>IF(OR(K151="",L151="",L151=0),"",IF(D151="Short",(G151-K151)/L151,(K151-G151)/L151))</f>
        <v/>
      </c>
      <c r="N151" s="18">
        <f>IF(M151="","",SUM($M$2:M151))</f>
        <v/>
      </c>
      <c r="O151" s="19" t="n"/>
      <c r="P151" s="15" t="n"/>
      <c r="Q151" s="15" t="n"/>
      <c r="R151" s="15" t="n"/>
      <c r="S151">
        <f>IF(N151="","",MAX(0,MAX($N$2:N151)))</f>
        <v/>
      </c>
      <c r="T151">
        <f>IF(N151="","",S151-N151)</f>
        <v/>
      </c>
      <c r="U151">
        <f>IF(M151="","",IF(M151&lt;0,IF(U150="",1,U150+1),0))</f>
        <v/>
      </c>
    </row>
    <row r="152">
      <c r="A152" s="6">
        <f>IF(B152="","",ROW()-1)</f>
        <v/>
      </c>
      <c r="B152" s="15" t="n"/>
      <c r="C152" s="15" t="n"/>
      <c r="D152" s="15" t="n"/>
      <c r="E152" s="15" t="n"/>
      <c r="F152" s="15" t="n"/>
      <c r="G152" s="16" t="n"/>
      <c r="H152" s="16" t="n"/>
      <c r="I152" s="16" t="n"/>
      <c r="J152" s="15" t="n"/>
      <c r="K152" s="16" t="n"/>
      <c r="L152" s="17">
        <f>IF(OR(G152="",H152=""),"",ABS(G152-H152))</f>
        <v/>
      </c>
      <c r="M152" s="18">
        <f>IF(OR(K152="",L152="",L152=0),"",IF(D152="Short",(G152-K152)/L152,(K152-G152)/L152))</f>
        <v/>
      </c>
      <c r="N152" s="18">
        <f>IF(M152="","",SUM($M$2:M152))</f>
        <v/>
      </c>
      <c r="O152" s="19" t="n"/>
      <c r="P152" s="15" t="n"/>
      <c r="Q152" s="15" t="n"/>
      <c r="R152" s="15" t="n"/>
      <c r="S152">
        <f>IF(N152="","",MAX(0,MAX($N$2:N152)))</f>
        <v/>
      </c>
      <c r="T152">
        <f>IF(N152="","",S152-N152)</f>
        <v/>
      </c>
      <c r="U152">
        <f>IF(M152="","",IF(M152&lt;0,IF(U151="",1,U151+1),0))</f>
        <v/>
      </c>
    </row>
    <row r="153">
      <c r="A153" s="6">
        <f>IF(B153="","",ROW()-1)</f>
        <v/>
      </c>
      <c r="B153" s="15" t="n"/>
      <c r="C153" s="15" t="n"/>
      <c r="D153" s="15" t="n"/>
      <c r="E153" s="15" t="n"/>
      <c r="F153" s="15" t="n"/>
      <c r="G153" s="16" t="n"/>
      <c r="H153" s="16" t="n"/>
      <c r="I153" s="16" t="n"/>
      <c r="J153" s="15" t="n"/>
      <c r="K153" s="16" t="n"/>
      <c r="L153" s="17">
        <f>IF(OR(G153="",H153=""),"",ABS(G153-H153))</f>
        <v/>
      </c>
      <c r="M153" s="18">
        <f>IF(OR(K153="",L153="",L153=0),"",IF(D153="Short",(G153-K153)/L153,(K153-G153)/L153))</f>
        <v/>
      </c>
      <c r="N153" s="18">
        <f>IF(M153="","",SUM($M$2:M153))</f>
        <v/>
      </c>
      <c r="O153" s="19" t="n"/>
      <c r="P153" s="15" t="n"/>
      <c r="Q153" s="15" t="n"/>
      <c r="R153" s="15" t="n"/>
      <c r="S153">
        <f>IF(N153="","",MAX(0,MAX($N$2:N153)))</f>
        <v/>
      </c>
      <c r="T153">
        <f>IF(N153="","",S153-N153)</f>
        <v/>
      </c>
      <c r="U153">
        <f>IF(M153="","",IF(M153&lt;0,IF(U152="",1,U152+1),0))</f>
        <v/>
      </c>
    </row>
    <row r="154">
      <c r="A154" s="6">
        <f>IF(B154="","",ROW()-1)</f>
        <v/>
      </c>
      <c r="B154" s="15" t="n"/>
      <c r="C154" s="15" t="n"/>
      <c r="D154" s="15" t="n"/>
      <c r="E154" s="15" t="n"/>
      <c r="F154" s="15" t="n"/>
      <c r="G154" s="16" t="n"/>
      <c r="H154" s="16" t="n"/>
      <c r="I154" s="16" t="n"/>
      <c r="J154" s="15" t="n"/>
      <c r="K154" s="16" t="n"/>
      <c r="L154" s="17">
        <f>IF(OR(G154="",H154=""),"",ABS(G154-H154))</f>
        <v/>
      </c>
      <c r="M154" s="18">
        <f>IF(OR(K154="",L154="",L154=0),"",IF(D154="Short",(G154-K154)/L154,(K154-G154)/L154))</f>
        <v/>
      </c>
      <c r="N154" s="18">
        <f>IF(M154="","",SUM($M$2:M154))</f>
        <v/>
      </c>
      <c r="O154" s="19" t="n"/>
      <c r="P154" s="15" t="n"/>
      <c r="Q154" s="15" t="n"/>
      <c r="R154" s="15" t="n"/>
      <c r="S154">
        <f>IF(N154="","",MAX(0,MAX($N$2:N154)))</f>
        <v/>
      </c>
      <c r="T154">
        <f>IF(N154="","",S154-N154)</f>
        <v/>
      </c>
      <c r="U154">
        <f>IF(M154="","",IF(M154&lt;0,IF(U153="",1,U153+1),0))</f>
        <v/>
      </c>
    </row>
    <row r="155">
      <c r="A155" s="6">
        <f>IF(B155="","",ROW()-1)</f>
        <v/>
      </c>
      <c r="B155" s="15" t="n"/>
      <c r="C155" s="15" t="n"/>
      <c r="D155" s="15" t="n"/>
      <c r="E155" s="15" t="n"/>
      <c r="F155" s="15" t="n"/>
      <c r="G155" s="16" t="n"/>
      <c r="H155" s="16" t="n"/>
      <c r="I155" s="16" t="n"/>
      <c r="J155" s="15" t="n"/>
      <c r="K155" s="16" t="n"/>
      <c r="L155" s="17">
        <f>IF(OR(G155="",H155=""),"",ABS(G155-H155))</f>
        <v/>
      </c>
      <c r="M155" s="18">
        <f>IF(OR(K155="",L155="",L155=0),"",IF(D155="Short",(G155-K155)/L155,(K155-G155)/L155))</f>
        <v/>
      </c>
      <c r="N155" s="18">
        <f>IF(M155="","",SUM($M$2:M155))</f>
        <v/>
      </c>
      <c r="O155" s="19" t="n"/>
      <c r="P155" s="15" t="n"/>
      <c r="Q155" s="15" t="n"/>
      <c r="R155" s="15" t="n"/>
      <c r="S155">
        <f>IF(N155="","",MAX(0,MAX($N$2:N155)))</f>
        <v/>
      </c>
      <c r="T155">
        <f>IF(N155="","",S155-N155)</f>
        <v/>
      </c>
      <c r="U155">
        <f>IF(M155="","",IF(M155&lt;0,IF(U154="",1,U154+1),0))</f>
        <v/>
      </c>
    </row>
    <row r="156">
      <c r="A156" s="6">
        <f>IF(B156="","",ROW()-1)</f>
        <v/>
      </c>
      <c r="B156" s="15" t="n"/>
      <c r="C156" s="15" t="n"/>
      <c r="D156" s="15" t="n"/>
      <c r="E156" s="15" t="n"/>
      <c r="F156" s="15" t="n"/>
      <c r="G156" s="16" t="n"/>
      <c r="H156" s="16" t="n"/>
      <c r="I156" s="16" t="n"/>
      <c r="J156" s="15" t="n"/>
      <c r="K156" s="16" t="n"/>
      <c r="L156" s="17">
        <f>IF(OR(G156="",H156=""),"",ABS(G156-H156))</f>
        <v/>
      </c>
      <c r="M156" s="18">
        <f>IF(OR(K156="",L156="",L156=0),"",IF(D156="Short",(G156-K156)/L156,(K156-G156)/L156))</f>
        <v/>
      </c>
      <c r="N156" s="18">
        <f>IF(M156="","",SUM($M$2:M156))</f>
        <v/>
      </c>
      <c r="O156" s="19" t="n"/>
      <c r="P156" s="15" t="n"/>
      <c r="Q156" s="15" t="n"/>
      <c r="R156" s="15" t="n"/>
      <c r="S156">
        <f>IF(N156="","",MAX(0,MAX($N$2:N156)))</f>
        <v/>
      </c>
      <c r="T156">
        <f>IF(N156="","",S156-N156)</f>
        <v/>
      </c>
      <c r="U156">
        <f>IF(M156="","",IF(M156&lt;0,IF(U155="",1,U155+1),0))</f>
        <v/>
      </c>
    </row>
    <row r="157">
      <c r="A157" s="6">
        <f>IF(B157="","",ROW()-1)</f>
        <v/>
      </c>
      <c r="B157" s="15" t="n"/>
      <c r="C157" s="15" t="n"/>
      <c r="D157" s="15" t="n"/>
      <c r="E157" s="15" t="n"/>
      <c r="F157" s="15" t="n"/>
      <c r="G157" s="16" t="n"/>
      <c r="H157" s="16" t="n"/>
      <c r="I157" s="16" t="n"/>
      <c r="J157" s="15" t="n"/>
      <c r="K157" s="16" t="n"/>
      <c r="L157" s="17">
        <f>IF(OR(G157="",H157=""),"",ABS(G157-H157))</f>
        <v/>
      </c>
      <c r="M157" s="18">
        <f>IF(OR(K157="",L157="",L157=0),"",IF(D157="Short",(G157-K157)/L157,(K157-G157)/L157))</f>
        <v/>
      </c>
      <c r="N157" s="18">
        <f>IF(M157="","",SUM($M$2:M157))</f>
        <v/>
      </c>
      <c r="O157" s="19" t="n"/>
      <c r="P157" s="15" t="n"/>
      <c r="Q157" s="15" t="n"/>
      <c r="R157" s="15" t="n"/>
      <c r="S157">
        <f>IF(N157="","",MAX(0,MAX($N$2:N157)))</f>
        <v/>
      </c>
      <c r="T157">
        <f>IF(N157="","",S157-N157)</f>
        <v/>
      </c>
      <c r="U157">
        <f>IF(M157="","",IF(M157&lt;0,IF(U156="",1,U156+1),0))</f>
        <v/>
      </c>
    </row>
    <row r="158">
      <c r="A158" s="6">
        <f>IF(B158="","",ROW()-1)</f>
        <v/>
      </c>
      <c r="B158" s="15" t="n"/>
      <c r="C158" s="15" t="n"/>
      <c r="D158" s="15" t="n"/>
      <c r="E158" s="15" t="n"/>
      <c r="F158" s="15" t="n"/>
      <c r="G158" s="16" t="n"/>
      <c r="H158" s="16" t="n"/>
      <c r="I158" s="16" t="n"/>
      <c r="J158" s="15" t="n"/>
      <c r="K158" s="16" t="n"/>
      <c r="L158" s="17">
        <f>IF(OR(G158="",H158=""),"",ABS(G158-H158))</f>
        <v/>
      </c>
      <c r="M158" s="18">
        <f>IF(OR(K158="",L158="",L158=0),"",IF(D158="Short",(G158-K158)/L158,(K158-G158)/L158))</f>
        <v/>
      </c>
      <c r="N158" s="18">
        <f>IF(M158="","",SUM($M$2:M158))</f>
        <v/>
      </c>
      <c r="O158" s="19" t="n"/>
      <c r="P158" s="15" t="n"/>
      <c r="Q158" s="15" t="n"/>
      <c r="R158" s="15" t="n"/>
      <c r="S158">
        <f>IF(N158="","",MAX(0,MAX($N$2:N158)))</f>
        <v/>
      </c>
      <c r="T158">
        <f>IF(N158="","",S158-N158)</f>
        <v/>
      </c>
      <c r="U158">
        <f>IF(M158="","",IF(M158&lt;0,IF(U157="",1,U157+1),0))</f>
        <v/>
      </c>
    </row>
    <row r="159">
      <c r="A159" s="6">
        <f>IF(B159="","",ROW()-1)</f>
        <v/>
      </c>
      <c r="B159" s="15" t="n"/>
      <c r="C159" s="15" t="n"/>
      <c r="D159" s="15" t="n"/>
      <c r="E159" s="15" t="n"/>
      <c r="F159" s="15" t="n"/>
      <c r="G159" s="16" t="n"/>
      <c r="H159" s="16" t="n"/>
      <c r="I159" s="16" t="n"/>
      <c r="J159" s="15" t="n"/>
      <c r="K159" s="16" t="n"/>
      <c r="L159" s="17">
        <f>IF(OR(G159="",H159=""),"",ABS(G159-H159))</f>
        <v/>
      </c>
      <c r="M159" s="18">
        <f>IF(OR(K159="",L159="",L159=0),"",IF(D159="Short",(G159-K159)/L159,(K159-G159)/L159))</f>
        <v/>
      </c>
      <c r="N159" s="18">
        <f>IF(M159="","",SUM($M$2:M159))</f>
        <v/>
      </c>
      <c r="O159" s="19" t="n"/>
      <c r="P159" s="15" t="n"/>
      <c r="Q159" s="15" t="n"/>
      <c r="R159" s="15" t="n"/>
      <c r="S159">
        <f>IF(N159="","",MAX(0,MAX($N$2:N159)))</f>
        <v/>
      </c>
      <c r="T159">
        <f>IF(N159="","",S159-N159)</f>
        <v/>
      </c>
      <c r="U159">
        <f>IF(M159="","",IF(M159&lt;0,IF(U158="",1,U158+1),0))</f>
        <v/>
      </c>
    </row>
    <row r="160">
      <c r="A160" s="6">
        <f>IF(B160="","",ROW()-1)</f>
        <v/>
      </c>
      <c r="B160" s="15" t="n"/>
      <c r="C160" s="15" t="n"/>
      <c r="D160" s="15" t="n"/>
      <c r="E160" s="15" t="n"/>
      <c r="F160" s="15" t="n"/>
      <c r="G160" s="16" t="n"/>
      <c r="H160" s="16" t="n"/>
      <c r="I160" s="16" t="n"/>
      <c r="J160" s="15" t="n"/>
      <c r="K160" s="16" t="n"/>
      <c r="L160" s="17">
        <f>IF(OR(G160="",H160=""),"",ABS(G160-H160))</f>
        <v/>
      </c>
      <c r="M160" s="18">
        <f>IF(OR(K160="",L160="",L160=0),"",IF(D160="Short",(G160-K160)/L160,(K160-G160)/L160))</f>
        <v/>
      </c>
      <c r="N160" s="18">
        <f>IF(M160="","",SUM($M$2:M160))</f>
        <v/>
      </c>
      <c r="O160" s="19" t="n"/>
      <c r="P160" s="15" t="n"/>
      <c r="Q160" s="15" t="n"/>
      <c r="R160" s="15" t="n"/>
      <c r="S160">
        <f>IF(N160="","",MAX(0,MAX($N$2:N160)))</f>
        <v/>
      </c>
      <c r="T160">
        <f>IF(N160="","",S160-N160)</f>
        <v/>
      </c>
      <c r="U160">
        <f>IF(M160="","",IF(M160&lt;0,IF(U159="",1,U159+1),0))</f>
        <v/>
      </c>
    </row>
    <row r="161">
      <c r="A161" s="6">
        <f>IF(B161="","",ROW()-1)</f>
        <v/>
      </c>
      <c r="B161" s="15" t="n"/>
      <c r="C161" s="15" t="n"/>
      <c r="D161" s="15" t="n"/>
      <c r="E161" s="15" t="n"/>
      <c r="F161" s="15" t="n"/>
      <c r="G161" s="16" t="n"/>
      <c r="H161" s="16" t="n"/>
      <c r="I161" s="16" t="n"/>
      <c r="J161" s="15" t="n"/>
      <c r="K161" s="16" t="n"/>
      <c r="L161" s="17">
        <f>IF(OR(G161="",H161=""),"",ABS(G161-H161))</f>
        <v/>
      </c>
      <c r="M161" s="18">
        <f>IF(OR(K161="",L161="",L161=0),"",IF(D161="Short",(G161-K161)/L161,(K161-G161)/L161))</f>
        <v/>
      </c>
      <c r="N161" s="18">
        <f>IF(M161="","",SUM($M$2:M161))</f>
        <v/>
      </c>
      <c r="O161" s="19" t="n"/>
      <c r="P161" s="15" t="n"/>
      <c r="Q161" s="15" t="n"/>
      <c r="R161" s="15" t="n"/>
      <c r="S161">
        <f>IF(N161="","",MAX(0,MAX($N$2:N161)))</f>
        <v/>
      </c>
      <c r="T161">
        <f>IF(N161="","",S161-N161)</f>
        <v/>
      </c>
      <c r="U161">
        <f>IF(M161="","",IF(M161&lt;0,IF(U160="",1,U160+1),0))</f>
        <v/>
      </c>
    </row>
    <row r="162">
      <c r="A162" s="6">
        <f>IF(B162="","",ROW()-1)</f>
        <v/>
      </c>
      <c r="B162" s="15" t="n"/>
      <c r="C162" s="15" t="n"/>
      <c r="D162" s="15" t="n"/>
      <c r="E162" s="15" t="n"/>
      <c r="F162" s="15" t="n"/>
      <c r="G162" s="16" t="n"/>
      <c r="H162" s="16" t="n"/>
      <c r="I162" s="16" t="n"/>
      <c r="J162" s="15" t="n"/>
      <c r="K162" s="16" t="n"/>
      <c r="L162" s="17">
        <f>IF(OR(G162="",H162=""),"",ABS(G162-H162))</f>
        <v/>
      </c>
      <c r="M162" s="18">
        <f>IF(OR(K162="",L162="",L162=0),"",IF(D162="Short",(G162-K162)/L162,(K162-G162)/L162))</f>
        <v/>
      </c>
      <c r="N162" s="18">
        <f>IF(M162="","",SUM($M$2:M162))</f>
        <v/>
      </c>
      <c r="O162" s="19" t="n"/>
      <c r="P162" s="15" t="n"/>
      <c r="Q162" s="15" t="n"/>
      <c r="R162" s="15" t="n"/>
      <c r="S162">
        <f>IF(N162="","",MAX(0,MAX($N$2:N162)))</f>
        <v/>
      </c>
      <c r="T162">
        <f>IF(N162="","",S162-N162)</f>
        <v/>
      </c>
      <c r="U162">
        <f>IF(M162="","",IF(M162&lt;0,IF(U161="",1,U161+1),0))</f>
        <v/>
      </c>
    </row>
    <row r="163">
      <c r="A163" s="6">
        <f>IF(B163="","",ROW()-1)</f>
        <v/>
      </c>
      <c r="B163" s="15" t="n"/>
      <c r="C163" s="15" t="n"/>
      <c r="D163" s="15" t="n"/>
      <c r="E163" s="15" t="n"/>
      <c r="F163" s="15" t="n"/>
      <c r="G163" s="16" t="n"/>
      <c r="H163" s="16" t="n"/>
      <c r="I163" s="16" t="n"/>
      <c r="J163" s="15" t="n"/>
      <c r="K163" s="16" t="n"/>
      <c r="L163" s="17">
        <f>IF(OR(G163="",H163=""),"",ABS(G163-H163))</f>
        <v/>
      </c>
      <c r="M163" s="18">
        <f>IF(OR(K163="",L163="",L163=0),"",IF(D163="Short",(G163-K163)/L163,(K163-G163)/L163))</f>
        <v/>
      </c>
      <c r="N163" s="18">
        <f>IF(M163="","",SUM($M$2:M163))</f>
        <v/>
      </c>
      <c r="O163" s="19" t="n"/>
      <c r="P163" s="15" t="n"/>
      <c r="Q163" s="15" t="n"/>
      <c r="R163" s="15" t="n"/>
      <c r="S163">
        <f>IF(N163="","",MAX(0,MAX($N$2:N163)))</f>
        <v/>
      </c>
      <c r="T163">
        <f>IF(N163="","",S163-N163)</f>
        <v/>
      </c>
      <c r="U163">
        <f>IF(M163="","",IF(M163&lt;0,IF(U162="",1,U162+1),0))</f>
        <v/>
      </c>
    </row>
    <row r="164">
      <c r="A164" s="6">
        <f>IF(B164="","",ROW()-1)</f>
        <v/>
      </c>
      <c r="B164" s="15" t="n"/>
      <c r="C164" s="15" t="n"/>
      <c r="D164" s="15" t="n"/>
      <c r="E164" s="15" t="n"/>
      <c r="F164" s="15" t="n"/>
      <c r="G164" s="16" t="n"/>
      <c r="H164" s="16" t="n"/>
      <c r="I164" s="16" t="n"/>
      <c r="J164" s="15" t="n"/>
      <c r="K164" s="16" t="n"/>
      <c r="L164" s="17">
        <f>IF(OR(G164="",H164=""),"",ABS(G164-H164))</f>
        <v/>
      </c>
      <c r="M164" s="18">
        <f>IF(OR(K164="",L164="",L164=0),"",IF(D164="Short",(G164-K164)/L164,(K164-G164)/L164))</f>
        <v/>
      </c>
      <c r="N164" s="18">
        <f>IF(M164="","",SUM($M$2:M164))</f>
        <v/>
      </c>
      <c r="O164" s="19" t="n"/>
      <c r="P164" s="15" t="n"/>
      <c r="Q164" s="15" t="n"/>
      <c r="R164" s="15" t="n"/>
      <c r="S164">
        <f>IF(N164="","",MAX(0,MAX($N$2:N164)))</f>
        <v/>
      </c>
      <c r="T164">
        <f>IF(N164="","",S164-N164)</f>
        <v/>
      </c>
      <c r="U164">
        <f>IF(M164="","",IF(M164&lt;0,IF(U163="",1,U163+1),0))</f>
        <v/>
      </c>
    </row>
    <row r="165">
      <c r="A165" s="6">
        <f>IF(B165="","",ROW()-1)</f>
        <v/>
      </c>
      <c r="B165" s="15" t="n"/>
      <c r="C165" s="15" t="n"/>
      <c r="D165" s="15" t="n"/>
      <c r="E165" s="15" t="n"/>
      <c r="F165" s="15" t="n"/>
      <c r="G165" s="16" t="n"/>
      <c r="H165" s="16" t="n"/>
      <c r="I165" s="16" t="n"/>
      <c r="J165" s="15" t="n"/>
      <c r="K165" s="16" t="n"/>
      <c r="L165" s="17">
        <f>IF(OR(G165="",H165=""),"",ABS(G165-H165))</f>
        <v/>
      </c>
      <c r="M165" s="18">
        <f>IF(OR(K165="",L165="",L165=0),"",IF(D165="Short",(G165-K165)/L165,(K165-G165)/L165))</f>
        <v/>
      </c>
      <c r="N165" s="18">
        <f>IF(M165="","",SUM($M$2:M165))</f>
        <v/>
      </c>
      <c r="O165" s="19" t="n"/>
      <c r="P165" s="15" t="n"/>
      <c r="Q165" s="15" t="n"/>
      <c r="R165" s="15" t="n"/>
      <c r="S165">
        <f>IF(N165="","",MAX(0,MAX($N$2:N165)))</f>
        <v/>
      </c>
      <c r="T165">
        <f>IF(N165="","",S165-N165)</f>
        <v/>
      </c>
      <c r="U165">
        <f>IF(M165="","",IF(M165&lt;0,IF(U164="",1,U164+1),0))</f>
        <v/>
      </c>
    </row>
    <row r="166">
      <c r="A166" s="6">
        <f>IF(B166="","",ROW()-1)</f>
        <v/>
      </c>
      <c r="B166" s="15" t="n"/>
      <c r="C166" s="15" t="n"/>
      <c r="D166" s="15" t="n"/>
      <c r="E166" s="15" t="n"/>
      <c r="F166" s="15" t="n"/>
      <c r="G166" s="16" t="n"/>
      <c r="H166" s="16" t="n"/>
      <c r="I166" s="16" t="n"/>
      <c r="J166" s="15" t="n"/>
      <c r="K166" s="16" t="n"/>
      <c r="L166" s="17">
        <f>IF(OR(G166="",H166=""),"",ABS(G166-H166))</f>
        <v/>
      </c>
      <c r="M166" s="18">
        <f>IF(OR(K166="",L166="",L166=0),"",IF(D166="Short",(G166-K166)/L166,(K166-G166)/L166))</f>
        <v/>
      </c>
      <c r="N166" s="18">
        <f>IF(M166="","",SUM($M$2:M166))</f>
        <v/>
      </c>
      <c r="O166" s="19" t="n"/>
      <c r="P166" s="15" t="n"/>
      <c r="Q166" s="15" t="n"/>
      <c r="R166" s="15" t="n"/>
      <c r="S166">
        <f>IF(N166="","",MAX(0,MAX($N$2:N166)))</f>
        <v/>
      </c>
      <c r="T166">
        <f>IF(N166="","",S166-N166)</f>
        <v/>
      </c>
      <c r="U166">
        <f>IF(M166="","",IF(M166&lt;0,IF(U165="",1,U165+1),0))</f>
        <v/>
      </c>
    </row>
    <row r="167">
      <c r="A167" s="6">
        <f>IF(B167="","",ROW()-1)</f>
        <v/>
      </c>
      <c r="B167" s="15" t="n"/>
      <c r="C167" s="15" t="n"/>
      <c r="D167" s="15" t="n"/>
      <c r="E167" s="15" t="n"/>
      <c r="F167" s="15" t="n"/>
      <c r="G167" s="16" t="n"/>
      <c r="H167" s="16" t="n"/>
      <c r="I167" s="16" t="n"/>
      <c r="J167" s="15" t="n"/>
      <c r="K167" s="16" t="n"/>
      <c r="L167" s="17">
        <f>IF(OR(G167="",H167=""),"",ABS(G167-H167))</f>
        <v/>
      </c>
      <c r="M167" s="18">
        <f>IF(OR(K167="",L167="",L167=0),"",IF(D167="Short",(G167-K167)/L167,(K167-G167)/L167))</f>
        <v/>
      </c>
      <c r="N167" s="18">
        <f>IF(M167="","",SUM($M$2:M167))</f>
        <v/>
      </c>
      <c r="O167" s="19" t="n"/>
      <c r="P167" s="15" t="n"/>
      <c r="Q167" s="15" t="n"/>
      <c r="R167" s="15" t="n"/>
      <c r="S167">
        <f>IF(N167="","",MAX(0,MAX($N$2:N167)))</f>
        <v/>
      </c>
      <c r="T167">
        <f>IF(N167="","",S167-N167)</f>
        <v/>
      </c>
      <c r="U167">
        <f>IF(M167="","",IF(M167&lt;0,IF(U166="",1,U166+1),0))</f>
        <v/>
      </c>
    </row>
    <row r="168">
      <c r="A168" s="6">
        <f>IF(B168="","",ROW()-1)</f>
        <v/>
      </c>
      <c r="B168" s="15" t="n"/>
      <c r="C168" s="15" t="n"/>
      <c r="D168" s="15" t="n"/>
      <c r="E168" s="15" t="n"/>
      <c r="F168" s="15" t="n"/>
      <c r="G168" s="16" t="n"/>
      <c r="H168" s="16" t="n"/>
      <c r="I168" s="16" t="n"/>
      <c r="J168" s="15" t="n"/>
      <c r="K168" s="16" t="n"/>
      <c r="L168" s="17">
        <f>IF(OR(G168="",H168=""),"",ABS(G168-H168))</f>
        <v/>
      </c>
      <c r="M168" s="18">
        <f>IF(OR(K168="",L168="",L168=0),"",IF(D168="Short",(G168-K168)/L168,(K168-G168)/L168))</f>
        <v/>
      </c>
      <c r="N168" s="18">
        <f>IF(M168="","",SUM($M$2:M168))</f>
        <v/>
      </c>
      <c r="O168" s="19" t="n"/>
      <c r="P168" s="15" t="n"/>
      <c r="Q168" s="15" t="n"/>
      <c r="R168" s="15" t="n"/>
      <c r="S168">
        <f>IF(N168="","",MAX(0,MAX($N$2:N168)))</f>
        <v/>
      </c>
      <c r="T168">
        <f>IF(N168="","",S168-N168)</f>
        <v/>
      </c>
      <c r="U168">
        <f>IF(M168="","",IF(M168&lt;0,IF(U167="",1,U167+1),0))</f>
        <v/>
      </c>
    </row>
    <row r="169">
      <c r="A169" s="6">
        <f>IF(B169="","",ROW()-1)</f>
        <v/>
      </c>
      <c r="B169" s="15" t="n"/>
      <c r="C169" s="15" t="n"/>
      <c r="D169" s="15" t="n"/>
      <c r="E169" s="15" t="n"/>
      <c r="F169" s="15" t="n"/>
      <c r="G169" s="16" t="n"/>
      <c r="H169" s="16" t="n"/>
      <c r="I169" s="16" t="n"/>
      <c r="J169" s="15" t="n"/>
      <c r="K169" s="16" t="n"/>
      <c r="L169" s="17">
        <f>IF(OR(G169="",H169=""),"",ABS(G169-H169))</f>
        <v/>
      </c>
      <c r="M169" s="18">
        <f>IF(OR(K169="",L169="",L169=0),"",IF(D169="Short",(G169-K169)/L169,(K169-G169)/L169))</f>
        <v/>
      </c>
      <c r="N169" s="18">
        <f>IF(M169="","",SUM($M$2:M169))</f>
        <v/>
      </c>
      <c r="O169" s="19" t="n"/>
      <c r="P169" s="15" t="n"/>
      <c r="Q169" s="15" t="n"/>
      <c r="R169" s="15" t="n"/>
      <c r="S169">
        <f>IF(N169="","",MAX(0,MAX($N$2:N169)))</f>
        <v/>
      </c>
      <c r="T169">
        <f>IF(N169="","",S169-N169)</f>
        <v/>
      </c>
      <c r="U169">
        <f>IF(M169="","",IF(M169&lt;0,IF(U168="",1,U168+1),0))</f>
        <v/>
      </c>
    </row>
    <row r="170">
      <c r="A170" s="6">
        <f>IF(B170="","",ROW()-1)</f>
        <v/>
      </c>
      <c r="B170" s="15" t="n"/>
      <c r="C170" s="15" t="n"/>
      <c r="D170" s="15" t="n"/>
      <c r="E170" s="15" t="n"/>
      <c r="F170" s="15" t="n"/>
      <c r="G170" s="16" t="n"/>
      <c r="H170" s="16" t="n"/>
      <c r="I170" s="16" t="n"/>
      <c r="J170" s="15" t="n"/>
      <c r="K170" s="16" t="n"/>
      <c r="L170" s="17">
        <f>IF(OR(G170="",H170=""),"",ABS(G170-H170))</f>
        <v/>
      </c>
      <c r="M170" s="18">
        <f>IF(OR(K170="",L170="",L170=0),"",IF(D170="Short",(G170-K170)/L170,(K170-G170)/L170))</f>
        <v/>
      </c>
      <c r="N170" s="18">
        <f>IF(M170="","",SUM($M$2:M170))</f>
        <v/>
      </c>
      <c r="O170" s="19" t="n"/>
      <c r="P170" s="15" t="n"/>
      <c r="Q170" s="15" t="n"/>
      <c r="R170" s="15" t="n"/>
      <c r="S170">
        <f>IF(N170="","",MAX(0,MAX($N$2:N170)))</f>
        <v/>
      </c>
      <c r="T170">
        <f>IF(N170="","",S170-N170)</f>
        <v/>
      </c>
      <c r="U170">
        <f>IF(M170="","",IF(M170&lt;0,IF(U169="",1,U169+1),0))</f>
        <v/>
      </c>
    </row>
    <row r="171">
      <c r="A171" s="6">
        <f>IF(B171="","",ROW()-1)</f>
        <v/>
      </c>
      <c r="B171" s="15" t="n"/>
      <c r="C171" s="15" t="n"/>
      <c r="D171" s="15" t="n"/>
      <c r="E171" s="15" t="n"/>
      <c r="F171" s="15" t="n"/>
      <c r="G171" s="16" t="n"/>
      <c r="H171" s="16" t="n"/>
      <c r="I171" s="16" t="n"/>
      <c r="J171" s="15" t="n"/>
      <c r="K171" s="16" t="n"/>
      <c r="L171" s="17">
        <f>IF(OR(G171="",H171=""),"",ABS(G171-H171))</f>
        <v/>
      </c>
      <c r="M171" s="18">
        <f>IF(OR(K171="",L171="",L171=0),"",IF(D171="Short",(G171-K171)/L171,(K171-G171)/L171))</f>
        <v/>
      </c>
      <c r="N171" s="18">
        <f>IF(M171="","",SUM($M$2:M171))</f>
        <v/>
      </c>
      <c r="O171" s="19" t="n"/>
      <c r="P171" s="15" t="n"/>
      <c r="Q171" s="15" t="n"/>
      <c r="R171" s="15" t="n"/>
      <c r="S171">
        <f>IF(N171="","",MAX(0,MAX($N$2:N171)))</f>
        <v/>
      </c>
      <c r="T171">
        <f>IF(N171="","",S171-N171)</f>
        <v/>
      </c>
      <c r="U171">
        <f>IF(M171="","",IF(M171&lt;0,IF(U170="",1,U170+1),0))</f>
        <v/>
      </c>
    </row>
    <row r="172">
      <c r="A172" s="6">
        <f>IF(B172="","",ROW()-1)</f>
        <v/>
      </c>
      <c r="B172" s="15" t="n"/>
      <c r="C172" s="15" t="n"/>
      <c r="D172" s="15" t="n"/>
      <c r="E172" s="15" t="n"/>
      <c r="F172" s="15" t="n"/>
      <c r="G172" s="16" t="n"/>
      <c r="H172" s="16" t="n"/>
      <c r="I172" s="16" t="n"/>
      <c r="J172" s="15" t="n"/>
      <c r="K172" s="16" t="n"/>
      <c r="L172" s="17">
        <f>IF(OR(G172="",H172=""),"",ABS(G172-H172))</f>
        <v/>
      </c>
      <c r="M172" s="18">
        <f>IF(OR(K172="",L172="",L172=0),"",IF(D172="Short",(G172-K172)/L172,(K172-G172)/L172))</f>
        <v/>
      </c>
      <c r="N172" s="18">
        <f>IF(M172="","",SUM($M$2:M172))</f>
        <v/>
      </c>
      <c r="O172" s="19" t="n"/>
      <c r="P172" s="15" t="n"/>
      <c r="Q172" s="15" t="n"/>
      <c r="R172" s="15" t="n"/>
      <c r="S172">
        <f>IF(N172="","",MAX(0,MAX($N$2:N172)))</f>
        <v/>
      </c>
      <c r="T172">
        <f>IF(N172="","",S172-N172)</f>
        <v/>
      </c>
      <c r="U172">
        <f>IF(M172="","",IF(M172&lt;0,IF(U171="",1,U171+1),0))</f>
        <v/>
      </c>
    </row>
    <row r="173">
      <c r="A173" s="6">
        <f>IF(B173="","",ROW()-1)</f>
        <v/>
      </c>
      <c r="B173" s="15" t="n"/>
      <c r="C173" s="15" t="n"/>
      <c r="D173" s="15" t="n"/>
      <c r="E173" s="15" t="n"/>
      <c r="F173" s="15" t="n"/>
      <c r="G173" s="16" t="n"/>
      <c r="H173" s="16" t="n"/>
      <c r="I173" s="16" t="n"/>
      <c r="J173" s="15" t="n"/>
      <c r="K173" s="16" t="n"/>
      <c r="L173" s="17">
        <f>IF(OR(G173="",H173=""),"",ABS(G173-H173))</f>
        <v/>
      </c>
      <c r="M173" s="18">
        <f>IF(OR(K173="",L173="",L173=0),"",IF(D173="Short",(G173-K173)/L173,(K173-G173)/L173))</f>
        <v/>
      </c>
      <c r="N173" s="18">
        <f>IF(M173="","",SUM($M$2:M173))</f>
        <v/>
      </c>
      <c r="O173" s="19" t="n"/>
      <c r="P173" s="15" t="n"/>
      <c r="Q173" s="15" t="n"/>
      <c r="R173" s="15" t="n"/>
      <c r="S173">
        <f>IF(N173="","",MAX(0,MAX($N$2:N173)))</f>
        <v/>
      </c>
      <c r="T173">
        <f>IF(N173="","",S173-N173)</f>
        <v/>
      </c>
      <c r="U173">
        <f>IF(M173="","",IF(M173&lt;0,IF(U172="",1,U172+1),0))</f>
        <v/>
      </c>
    </row>
    <row r="174">
      <c r="A174" s="6">
        <f>IF(B174="","",ROW()-1)</f>
        <v/>
      </c>
      <c r="B174" s="15" t="n"/>
      <c r="C174" s="15" t="n"/>
      <c r="D174" s="15" t="n"/>
      <c r="E174" s="15" t="n"/>
      <c r="F174" s="15" t="n"/>
      <c r="G174" s="16" t="n"/>
      <c r="H174" s="16" t="n"/>
      <c r="I174" s="16" t="n"/>
      <c r="J174" s="15" t="n"/>
      <c r="K174" s="16" t="n"/>
      <c r="L174" s="17">
        <f>IF(OR(G174="",H174=""),"",ABS(G174-H174))</f>
        <v/>
      </c>
      <c r="M174" s="18">
        <f>IF(OR(K174="",L174="",L174=0),"",IF(D174="Short",(G174-K174)/L174,(K174-G174)/L174))</f>
        <v/>
      </c>
      <c r="N174" s="18">
        <f>IF(M174="","",SUM($M$2:M174))</f>
        <v/>
      </c>
      <c r="O174" s="19" t="n"/>
      <c r="P174" s="15" t="n"/>
      <c r="Q174" s="15" t="n"/>
      <c r="R174" s="15" t="n"/>
      <c r="S174">
        <f>IF(N174="","",MAX(0,MAX($N$2:N174)))</f>
        <v/>
      </c>
      <c r="T174">
        <f>IF(N174="","",S174-N174)</f>
        <v/>
      </c>
      <c r="U174">
        <f>IF(M174="","",IF(M174&lt;0,IF(U173="",1,U173+1),0))</f>
        <v/>
      </c>
    </row>
    <row r="175">
      <c r="A175" s="6">
        <f>IF(B175="","",ROW()-1)</f>
        <v/>
      </c>
      <c r="B175" s="15" t="n"/>
      <c r="C175" s="15" t="n"/>
      <c r="D175" s="15" t="n"/>
      <c r="E175" s="15" t="n"/>
      <c r="F175" s="15" t="n"/>
      <c r="G175" s="16" t="n"/>
      <c r="H175" s="16" t="n"/>
      <c r="I175" s="16" t="n"/>
      <c r="J175" s="15" t="n"/>
      <c r="K175" s="16" t="n"/>
      <c r="L175" s="17">
        <f>IF(OR(G175="",H175=""),"",ABS(G175-H175))</f>
        <v/>
      </c>
      <c r="M175" s="18">
        <f>IF(OR(K175="",L175="",L175=0),"",IF(D175="Short",(G175-K175)/L175,(K175-G175)/L175))</f>
        <v/>
      </c>
      <c r="N175" s="18">
        <f>IF(M175="","",SUM($M$2:M175))</f>
        <v/>
      </c>
      <c r="O175" s="19" t="n"/>
      <c r="P175" s="15" t="n"/>
      <c r="Q175" s="15" t="n"/>
      <c r="R175" s="15" t="n"/>
      <c r="S175">
        <f>IF(N175="","",MAX(0,MAX($N$2:N175)))</f>
        <v/>
      </c>
      <c r="T175">
        <f>IF(N175="","",S175-N175)</f>
        <v/>
      </c>
      <c r="U175">
        <f>IF(M175="","",IF(M175&lt;0,IF(U174="",1,U174+1),0))</f>
        <v/>
      </c>
    </row>
    <row r="176">
      <c r="A176" s="6">
        <f>IF(B176="","",ROW()-1)</f>
        <v/>
      </c>
      <c r="B176" s="15" t="n"/>
      <c r="C176" s="15" t="n"/>
      <c r="D176" s="15" t="n"/>
      <c r="E176" s="15" t="n"/>
      <c r="F176" s="15" t="n"/>
      <c r="G176" s="16" t="n"/>
      <c r="H176" s="16" t="n"/>
      <c r="I176" s="16" t="n"/>
      <c r="J176" s="15" t="n"/>
      <c r="K176" s="16" t="n"/>
      <c r="L176" s="17">
        <f>IF(OR(G176="",H176=""),"",ABS(G176-H176))</f>
        <v/>
      </c>
      <c r="M176" s="18">
        <f>IF(OR(K176="",L176="",L176=0),"",IF(D176="Short",(G176-K176)/L176,(K176-G176)/L176))</f>
        <v/>
      </c>
      <c r="N176" s="18">
        <f>IF(M176="","",SUM($M$2:M176))</f>
        <v/>
      </c>
      <c r="O176" s="19" t="n"/>
      <c r="P176" s="15" t="n"/>
      <c r="Q176" s="15" t="n"/>
      <c r="R176" s="15" t="n"/>
      <c r="S176">
        <f>IF(N176="","",MAX(0,MAX($N$2:N176)))</f>
        <v/>
      </c>
      <c r="T176">
        <f>IF(N176="","",S176-N176)</f>
        <v/>
      </c>
      <c r="U176">
        <f>IF(M176="","",IF(M176&lt;0,IF(U175="",1,U175+1),0))</f>
        <v/>
      </c>
    </row>
    <row r="177">
      <c r="A177" s="6">
        <f>IF(B177="","",ROW()-1)</f>
        <v/>
      </c>
      <c r="B177" s="15" t="n"/>
      <c r="C177" s="15" t="n"/>
      <c r="D177" s="15" t="n"/>
      <c r="E177" s="15" t="n"/>
      <c r="F177" s="15" t="n"/>
      <c r="G177" s="16" t="n"/>
      <c r="H177" s="16" t="n"/>
      <c r="I177" s="16" t="n"/>
      <c r="J177" s="15" t="n"/>
      <c r="K177" s="16" t="n"/>
      <c r="L177" s="17">
        <f>IF(OR(G177="",H177=""),"",ABS(G177-H177))</f>
        <v/>
      </c>
      <c r="M177" s="18">
        <f>IF(OR(K177="",L177="",L177=0),"",IF(D177="Short",(G177-K177)/L177,(K177-G177)/L177))</f>
        <v/>
      </c>
      <c r="N177" s="18">
        <f>IF(M177="","",SUM($M$2:M177))</f>
        <v/>
      </c>
      <c r="O177" s="19" t="n"/>
      <c r="P177" s="15" t="n"/>
      <c r="Q177" s="15" t="n"/>
      <c r="R177" s="15" t="n"/>
      <c r="S177">
        <f>IF(N177="","",MAX(0,MAX($N$2:N177)))</f>
        <v/>
      </c>
      <c r="T177">
        <f>IF(N177="","",S177-N177)</f>
        <v/>
      </c>
      <c r="U177">
        <f>IF(M177="","",IF(M177&lt;0,IF(U176="",1,U176+1),0))</f>
        <v/>
      </c>
    </row>
    <row r="178">
      <c r="A178" s="6">
        <f>IF(B178="","",ROW()-1)</f>
        <v/>
      </c>
      <c r="B178" s="15" t="n"/>
      <c r="C178" s="15" t="n"/>
      <c r="D178" s="15" t="n"/>
      <c r="E178" s="15" t="n"/>
      <c r="F178" s="15" t="n"/>
      <c r="G178" s="16" t="n"/>
      <c r="H178" s="16" t="n"/>
      <c r="I178" s="16" t="n"/>
      <c r="J178" s="15" t="n"/>
      <c r="K178" s="16" t="n"/>
      <c r="L178" s="17">
        <f>IF(OR(G178="",H178=""),"",ABS(G178-H178))</f>
        <v/>
      </c>
      <c r="M178" s="18">
        <f>IF(OR(K178="",L178="",L178=0),"",IF(D178="Short",(G178-K178)/L178,(K178-G178)/L178))</f>
        <v/>
      </c>
      <c r="N178" s="18">
        <f>IF(M178="","",SUM($M$2:M178))</f>
        <v/>
      </c>
      <c r="O178" s="19" t="n"/>
      <c r="P178" s="15" t="n"/>
      <c r="Q178" s="15" t="n"/>
      <c r="R178" s="15" t="n"/>
      <c r="S178">
        <f>IF(N178="","",MAX(0,MAX($N$2:N178)))</f>
        <v/>
      </c>
      <c r="T178">
        <f>IF(N178="","",S178-N178)</f>
        <v/>
      </c>
      <c r="U178">
        <f>IF(M178="","",IF(M178&lt;0,IF(U177="",1,U177+1),0))</f>
        <v/>
      </c>
    </row>
    <row r="179">
      <c r="A179" s="6">
        <f>IF(B179="","",ROW()-1)</f>
        <v/>
      </c>
      <c r="B179" s="15" t="n"/>
      <c r="C179" s="15" t="n"/>
      <c r="D179" s="15" t="n"/>
      <c r="E179" s="15" t="n"/>
      <c r="F179" s="15" t="n"/>
      <c r="G179" s="16" t="n"/>
      <c r="H179" s="16" t="n"/>
      <c r="I179" s="16" t="n"/>
      <c r="J179" s="15" t="n"/>
      <c r="K179" s="16" t="n"/>
      <c r="L179" s="17">
        <f>IF(OR(G179="",H179=""),"",ABS(G179-H179))</f>
        <v/>
      </c>
      <c r="M179" s="18">
        <f>IF(OR(K179="",L179="",L179=0),"",IF(D179="Short",(G179-K179)/L179,(K179-G179)/L179))</f>
        <v/>
      </c>
      <c r="N179" s="18">
        <f>IF(M179="","",SUM($M$2:M179))</f>
        <v/>
      </c>
      <c r="O179" s="19" t="n"/>
      <c r="P179" s="15" t="n"/>
      <c r="Q179" s="15" t="n"/>
      <c r="R179" s="15" t="n"/>
      <c r="S179">
        <f>IF(N179="","",MAX(0,MAX($N$2:N179)))</f>
        <v/>
      </c>
      <c r="T179">
        <f>IF(N179="","",S179-N179)</f>
        <v/>
      </c>
      <c r="U179">
        <f>IF(M179="","",IF(M179&lt;0,IF(U178="",1,U178+1),0))</f>
        <v/>
      </c>
    </row>
    <row r="180">
      <c r="A180" s="6">
        <f>IF(B180="","",ROW()-1)</f>
        <v/>
      </c>
      <c r="B180" s="15" t="n"/>
      <c r="C180" s="15" t="n"/>
      <c r="D180" s="15" t="n"/>
      <c r="E180" s="15" t="n"/>
      <c r="F180" s="15" t="n"/>
      <c r="G180" s="16" t="n"/>
      <c r="H180" s="16" t="n"/>
      <c r="I180" s="16" t="n"/>
      <c r="J180" s="15" t="n"/>
      <c r="K180" s="16" t="n"/>
      <c r="L180" s="17">
        <f>IF(OR(G180="",H180=""),"",ABS(G180-H180))</f>
        <v/>
      </c>
      <c r="M180" s="18">
        <f>IF(OR(K180="",L180="",L180=0),"",IF(D180="Short",(G180-K180)/L180,(K180-G180)/L180))</f>
        <v/>
      </c>
      <c r="N180" s="18">
        <f>IF(M180="","",SUM($M$2:M180))</f>
        <v/>
      </c>
      <c r="O180" s="19" t="n"/>
      <c r="P180" s="15" t="n"/>
      <c r="Q180" s="15" t="n"/>
      <c r="R180" s="15" t="n"/>
      <c r="S180">
        <f>IF(N180="","",MAX(0,MAX($N$2:N180)))</f>
        <v/>
      </c>
      <c r="T180">
        <f>IF(N180="","",S180-N180)</f>
        <v/>
      </c>
      <c r="U180">
        <f>IF(M180="","",IF(M180&lt;0,IF(U179="",1,U179+1),0))</f>
        <v/>
      </c>
    </row>
    <row r="181">
      <c r="A181" s="6">
        <f>IF(B181="","",ROW()-1)</f>
        <v/>
      </c>
      <c r="B181" s="15" t="n"/>
      <c r="C181" s="15" t="n"/>
      <c r="D181" s="15" t="n"/>
      <c r="E181" s="15" t="n"/>
      <c r="F181" s="15" t="n"/>
      <c r="G181" s="16" t="n"/>
      <c r="H181" s="16" t="n"/>
      <c r="I181" s="16" t="n"/>
      <c r="J181" s="15" t="n"/>
      <c r="K181" s="16" t="n"/>
      <c r="L181" s="17">
        <f>IF(OR(G181="",H181=""),"",ABS(G181-H181))</f>
        <v/>
      </c>
      <c r="M181" s="18">
        <f>IF(OR(K181="",L181="",L181=0),"",IF(D181="Short",(G181-K181)/L181,(K181-G181)/L181))</f>
        <v/>
      </c>
      <c r="N181" s="18">
        <f>IF(M181="","",SUM($M$2:M181))</f>
        <v/>
      </c>
      <c r="O181" s="19" t="n"/>
      <c r="P181" s="15" t="n"/>
      <c r="Q181" s="15" t="n"/>
      <c r="R181" s="15" t="n"/>
      <c r="S181">
        <f>IF(N181="","",MAX(0,MAX($N$2:N181)))</f>
        <v/>
      </c>
      <c r="T181">
        <f>IF(N181="","",S181-N181)</f>
        <v/>
      </c>
      <c r="U181">
        <f>IF(M181="","",IF(M181&lt;0,IF(U180="",1,U180+1),0))</f>
        <v/>
      </c>
    </row>
    <row r="182">
      <c r="A182" s="6">
        <f>IF(B182="","",ROW()-1)</f>
        <v/>
      </c>
      <c r="B182" s="15" t="n"/>
      <c r="C182" s="15" t="n"/>
      <c r="D182" s="15" t="n"/>
      <c r="E182" s="15" t="n"/>
      <c r="F182" s="15" t="n"/>
      <c r="G182" s="16" t="n"/>
      <c r="H182" s="16" t="n"/>
      <c r="I182" s="16" t="n"/>
      <c r="J182" s="15" t="n"/>
      <c r="K182" s="16" t="n"/>
      <c r="L182" s="17">
        <f>IF(OR(G182="",H182=""),"",ABS(G182-H182))</f>
        <v/>
      </c>
      <c r="M182" s="18">
        <f>IF(OR(K182="",L182="",L182=0),"",IF(D182="Short",(G182-K182)/L182,(K182-G182)/L182))</f>
        <v/>
      </c>
      <c r="N182" s="18">
        <f>IF(M182="","",SUM($M$2:M182))</f>
        <v/>
      </c>
      <c r="O182" s="19" t="n"/>
      <c r="P182" s="15" t="n"/>
      <c r="Q182" s="15" t="n"/>
      <c r="R182" s="15" t="n"/>
      <c r="S182">
        <f>IF(N182="","",MAX(0,MAX($N$2:N182)))</f>
        <v/>
      </c>
      <c r="T182">
        <f>IF(N182="","",S182-N182)</f>
        <v/>
      </c>
      <c r="U182">
        <f>IF(M182="","",IF(M182&lt;0,IF(U181="",1,U181+1),0))</f>
        <v/>
      </c>
    </row>
    <row r="183">
      <c r="A183" s="6">
        <f>IF(B183="","",ROW()-1)</f>
        <v/>
      </c>
      <c r="B183" s="15" t="n"/>
      <c r="C183" s="15" t="n"/>
      <c r="D183" s="15" t="n"/>
      <c r="E183" s="15" t="n"/>
      <c r="F183" s="15" t="n"/>
      <c r="G183" s="16" t="n"/>
      <c r="H183" s="16" t="n"/>
      <c r="I183" s="16" t="n"/>
      <c r="J183" s="15" t="n"/>
      <c r="K183" s="16" t="n"/>
      <c r="L183" s="17">
        <f>IF(OR(G183="",H183=""),"",ABS(G183-H183))</f>
        <v/>
      </c>
      <c r="M183" s="18">
        <f>IF(OR(K183="",L183="",L183=0),"",IF(D183="Short",(G183-K183)/L183,(K183-G183)/L183))</f>
        <v/>
      </c>
      <c r="N183" s="18">
        <f>IF(M183="","",SUM($M$2:M183))</f>
        <v/>
      </c>
      <c r="O183" s="19" t="n"/>
      <c r="P183" s="15" t="n"/>
      <c r="Q183" s="15" t="n"/>
      <c r="R183" s="15" t="n"/>
      <c r="S183">
        <f>IF(N183="","",MAX(0,MAX($N$2:N183)))</f>
        <v/>
      </c>
      <c r="T183">
        <f>IF(N183="","",S183-N183)</f>
        <v/>
      </c>
      <c r="U183">
        <f>IF(M183="","",IF(M183&lt;0,IF(U182="",1,U182+1),0))</f>
        <v/>
      </c>
    </row>
    <row r="184">
      <c r="A184" s="6">
        <f>IF(B184="","",ROW()-1)</f>
        <v/>
      </c>
      <c r="B184" s="15" t="n"/>
      <c r="C184" s="15" t="n"/>
      <c r="D184" s="15" t="n"/>
      <c r="E184" s="15" t="n"/>
      <c r="F184" s="15" t="n"/>
      <c r="G184" s="16" t="n"/>
      <c r="H184" s="16" t="n"/>
      <c r="I184" s="16" t="n"/>
      <c r="J184" s="15" t="n"/>
      <c r="K184" s="16" t="n"/>
      <c r="L184" s="17">
        <f>IF(OR(G184="",H184=""),"",ABS(G184-H184))</f>
        <v/>
      </c>
      <c r="M184" s="18">
        <f>IF(OR(K184="",L184="",L184=0),"",IF(D184="Short",(G184-K184)/L184,(K184-G184)/L184))</f>
        <v/>
      </c>
      <c r="N184" s="18">
        <f>IF(M184="","",SUM($M$2:M184))</f>
        <v/>
      </c>
      <c r="O184" s="19" t="n"/>
      <c r="P184" s="15" t="n"/>
      <c r="Q184" s="15" t="n"/>
      <c r="R184" s="15" t="n"/>
      <c r="S184">
        <f>IF(N184="","",MAX(0,MAX($N$2:N184)))</f>
        <v/>
      </c>
      <c r="T184">
        <f>IF(N184="","",S184-N184)</f>
        <v/>
      </c>
      <c r="U184">
        <f>IF(M184="","",IF(M184&lt;0,IF(U183="",1,U183+1),0))</f>
        <v/>
      </c>
    </row>
    <row r="185">
      <c r="A185" s="6">
        <f>IF(B185="","",ROW()-1)</f>
        <v/>
      </c>
      <c r="B185" s="15" t="n"/>
      <c r="C185" s="15" t="n"/>
      <c r="D185" s="15" t="n"/>
      <c r="E185" s="15" t="n"/>
      <c r="F185" s="15" t="n"/>
      <c r="G185" s="16" t="n"/>
      <c r="H185" s="16" t="n"/>
      <c r="I185" s="16" t="n"/>
      <c r="J185" s="15" t="n"/>
      <c r="K185" s="16" t="n"/>
      <c r="L185" s="17">
        <f>IF(OR(G185="",H185=""),"",ABS(G185-H185))</f>
        <v/>
      </c>
      <c r="M185" s="18">
        <f>IF(OR(K185="",L185="",L185=0),"",IF(D185="Short",(G185-K185)/L185,(K185-G185)/L185))</f>
        <v/>
      </c>
      <c r="N185" s="18">
        <f>IF(M185="","",SUM($M$2:M185))</f>
        <v/>
      </c>
      <c r="O185" s="19" t="n"/>
      <c r="P185" s="15" t="n"/>
      <c r="Q185" s="15" t="n"/>
      <c r="R185" s="15" t="n"/>
      <c r="S185">
        <f>IF(N185="","",MAX(0,MAX($N$2:N185)))</f>
        <v/>
      </c>
      <c r="T185">
        <f>IF(N185="","",S185-N185)</f>
        <v/>
      </c>
      <c r="U185">
        <f>IF(M185="","",IF(M185&lt;0,IF(U184="",1,U184+1),0))</f>
        <v/>
      </c>
    </row>
    <row r="186">
      <c r="A186" s="6">
        <f>IF(B186="","",ROW()-1)</f>
        <v/>
      </c>
      <c r="B186" s="15" t="n"/>
      <c r="C186" s="15" t="n"/>
      <c r="D186" s="15" t="n"/>
      <c r="E186" s="15" t="n"/>
      <c r="F186" s="15" t="n"/>
      <c r="G186" s="16" t="n"/>
      <c r="H186" s="16" t="n"/>
      <c r="I186" s="16" t="n"/>
      <c r="J186" s="15" t="n"/>
      <c r="K186" s="16" t="n"/>
      <c r="L186" s="17">
        <f>IF(OR(G186="",H186=""),"",ABS(G186-H186))</f>
        <v/>
      </c>
      <c r="M186" s="18">
        <f>IF(OR(K186="",L186="",L186=0),"",IF(D186="Short",(G186-K186)/L186,(K186-G186)/L186))</f>
        <v/>
      </c>
      <c r="N186" s="18">
        <f>IF(M186="","",SUM($M$2:M186))</f>
        <v/>
      </c>
      <c r="O186" s="19" t="n"/>
      <c r="P186" s="15" t="n"/>
      <c r="Q186" s="15" t="n"/>
      <c r="R186" s="15" t="n"/>
      <c r="S186">
        <f>IF(N186="","",MAX(0,MAX($N$2:N186)))</f>
        <v/>
      </c>
      <c r="T186">
        <f>IF(N186="","",S186-N186)</f>
        <v/>
      </c>
      <c r="U186">
        <f>IF(M186="","",IF(M186&lt;0,IF(U185="",1,U185+1),0))</f>
        <v/>
      </c>
    </row>
    <row r="187">
      <c r="A187" s="6">
        <f>IF(B187="","",ROW()-1)</f>
        <v/>
      </c>
      <c r="B187" s="15" t="n"/>
      <c r="C187" s="15" t="n"/>
      <c r="D187" s="15" t="n"/>
      <c r="E187" s="15" t="n"/>
      <c r="F187" s="15" t="n"/>
      <c r="G187" s="16" t="n"/>
      <c r="H187" s="16" t="n"/>
      <c r="I187" s="16" t="n"/>
      <c r="J187" s="15" t="n"/>
      <c r="K187" s="16" t="n"/>
      <c r="L187" s="17">
        <f>IF(OR(G187="",H187=""),"",ABS(G187-H187))</f>
        <v/>
      </c>
      <c r="M187" s="18">
        <f>IF(OR(K187="",L187="",L187=0),"",IF(D187="Short",(G187-K187)/L187,(K187-G187)/L187))</f>
        <v/>
      </c>
      <c r="N187" s="18">
        <f>IF(M187="","",SUM($M$2:M187))</f>
        <v/>
      </c>
      <c r="O187" s="19" t="n"/>
      <c r="P187" s="15" t="n"/>
      <c r="Q187" s="15" t="n"/>
      <c r="R187" s="15" t="n"/>
      <c r="S187">
        <f>IF(N187="","",MAX(0,MAX($N$2:N187)))</f>
        <v/>
      </c>
      <c r="T187">
        <f>IF(N187="","",S187-N187)</f>
        <v/>
      </c>
      <c r="U187">
        <f>IF(M187="","",IF(M187&lt;0,IF(U186="",1,U186+1),0))</f>
        <v/>
      </c>
    </row>
    <row r="188">
      <c r="A188" s="6">
        <f>IF(B188="","",ROW()-1)</f>
        <v/>
      </c>
      <c r="B188" s="15" t="n"/>
      <c r="C188" s="15" t="n"/>
      <c r="D188" s="15" t="n"/>
      <c r="E188" s="15" t="n"/>
      <c r="F188" s="15" t="n"/>
      <c r="G188" s="16" t="n"/>
      <c r="H188" s="16" t="n"/>
      <c r="I188" s="16" t="n"/>
      <c r="J188" s="15" t="n"/>
      <c r="K188" s="16" t="n"/>
      <c r="L188" s="17">
        <f>IF(OR(G188="",H188=""),"",ABS(G188-H188))</f>
        <v/>
      </c>
      <c r="M188" s="18">
        <f>IF(OR(K188="",L188="",L188=0),"",IF(D188="Short",(G188-K188)/L188,(K188-G188)/L188))</f>
        <v/>
      </c>
      <c r="N188" s="18">
        <f>IF(M188="","",SUM($M$2:M188))</f>
        <v/>
      </c>
      <c r="O188" s="19" t="n"/>
      <c r="P188" s="15" t="n"/>
      <c r="Q188" s="15" t="n"/>
      <c r="R188" s="15" t="n"/>
      <c r="S188">
        <f>IF(N188="","",MAX(0,MAX($N$2:N188)))</f>
        <v/>
      </c>
      <c r="T188">
        <f>IF(N188="","",S188-N188)</f>
        <v/>
      </c>
      <c r="U188">
        <f>IF(M188="","",IF(M188&lt;0,IF(U187="",1,U187+1),0))</f>
        <v/>
      </c>
    </row>
    <row r="189">
      <c r="A189" s="6">
        <f>IF(B189="","",ROW()-1)</f>
        <v/>
      </c>
      <c r="B189" s="15" t="n"/>
      <c r="C189" s="15" t="n"/>
      <c r="D189" s="15" t="n"/>
      <c r="E189" s="15" t="n"/>
      <c r="F189" s="15" t="n"/>
      <c r="G189" s="16" t="n"/>
      <c r="H189" s="16" t="n"/>
      <c r="I189" s="16" t="n"/>
      <c r="J189" s="15" t="n"/>
      <c r="K189" s="16" t="n"/>
      <c r="L189" s="17">
        <f>IF(OR(G189="",H189=""),"",ABS(G189-H189))</f>
        <v/>
      </c>
      <c r="M189" s="18">
        <f>IF(OR(K189="",L189="",L189=0),"",IF(D189="Short",(G189-K189)/L189,(K189-G189)/L189))</f>
        <v/>
      </c>
      <c r="N189" s="18">
        <f>IF(M189="","",SUM($M$2:M189))</f>
        <v/>
      </c>
      <c r="O189" s="19" t="n"/>
      <c r="P189" s="15" t="n"/>
      <c r="Q189" s="15" t="n"/>
      <c r="R189" s="15" t="n"/>
      <c r="S189">
        <f>IF(N189="","",MAX(0,MAX($N$2:N189)))</f>
        <v/>
      </c>
      <c r="T189">
        <f>IF(N189="","",S189-N189)</f>
        <v/>
      </c>
      <c r="U189">
        <f>IF(M189="","",IF(M189&lt;0,IF(U188="",1,U188+1),0))</f>
        <v/>
      </c>
    </row>
    <row r="190">
      <c r="A190" s="6">
        <f>IF(B190="","",ROW()-1)</f>
        <v/>
      </c>
      <c r="B190" s="15" t="n"/>
      <c r="C190" s="15" t="n"/>
      <c r="D190" s="15" t="n"/>
      <c r="E190" s="15" t="n"/>
      <c r="F190" s="15" t="n"/>
      <c r="G190" s="16" t="n"/>
      <c r="H190" s="16" t="n"/>
      <c r="I190" s="16" t="n"/>
      <c r="J190" s="15" t="n"/>
      <c r="K190" s="16" t="n"/>
      <c r="L190" s="17">
        <f>IF(OR(G190="",H190=""),"",ABS(G190-H190))</f>
        <v/>
      </c>
      <c r="M190" s="18">
        <f>IF(OR(K190="",L190="",L190=0),"",IF(D190="Short",(G190-K190)/L190,(K190-G190)/L190))</f>
        <v/>
      </c>
      <c r="N190" s="18">
        <f>IF(M190="","",SUM($M$2:M190))</f>
        <v/>
      </c>
      <c r="O190" s="19" t="n"/>
      <c r="P190" s="15" t="n"/>
      <c r="Q190" s="15" t="n"/>
      <c r="R190" s="15" t="n"/>
      <c r="S190">
        <f>IF(N190="","",MAX(0,MAX($N$2:N190)))</f>
        <v/>
      </c>
      <c r="T190">
        <f>IF(N190="","",S190-N190)</f>
        <v/>
      </c>
      <c r="U190">
        <f>IF(M190="","",IF(M190&lt;0,IF(U189="",1,U189+1),0))</f>
        <v/>
      </c>
    </row>
    <row r="191">
      <c r="A191" s="6">
        <f>IF(B191="","",ROW()-1)</f>
        <v/>
      </c>
      <c r="B191" s="15" t="n"/>
      <c r="C191" s="15" t="n"/>
      <c r="D191" s="15" t="n"/>
      <c r="E191" s="15" t="n"/>
      <c r="F191" s="15" t="n"/>
      <c r="G191" s="16" t="n"/>
      <c r="H191" s="16" t="n"/>
      <c r="I191" s="16" t="n"/>
      <c r="J191" s="15" t="n"/>
      <c r="K191" s="16" t="n"/>
      <c r="L191" s="17">
        <f>IF(OR(G191="",H191=""),"",ABS(G191-H191))</f>
        <v/>
      </c>
      <c r="M191" s="18">
        <f>IF(OR(K191="",L191="",L191=0),"",IF(D191="Short",(G191-K191)/L191,(K191-G191)/L191))</f>
        <v/>
      </c>
      <c r="N191" s="18">
        <f>IF(M191="","",SUM($M$2:M191))</f>
        <v/>
      </c>
      <c r="O191" s="19" t="n"/>
      <c r="P191" s="15" t="n"/>
      <c r="Q191" s="15" t="n"/>
      <c r="R191" s="15" t="n"/>
      <c r="S191">
        <f>IF(N191="","",MAX(0,MAX($N$2:N191)))</f>
        <v/>
      </c>
      <c r="T191">
        <f>IF(N191="","",S191-N191)</f>
        <v/>
      </c>
      <c r="U191">
        <f>IF(M191="","",IF(M191&lt;0,IF(U190="",1,U190+1),0))</f>
        <v/>
      </c>
    </row>
    <row r="192">
      <c r="A192" s="6">
        <f>IF(B192="","",ROW()-1)</f>
        <v/>
      </c>
      <c r="B192" s="15" t="n"/>
      <c r="C192" s="15" t="n"/>
      <c r="D192" s="15" t="n"/>
      <c r="E192" s="15" t="n"/>
      <c r="F192" s="15" t="n"/>
      <c r="G192" s="16" t="n"/>
      <c r="H192" s="16" t="n"/>
      <c r="I192" s="16" t="n"/>
      <c r="J192" s="15" t="n"/>
      <c r="K192" s="16" t="n"/>
      <c r="L192" s="17">
        <f>IF(OR(G192="",H192=""),"",ABS(G192-H192))</f>
        <v/>
      </c>
      <c r="M192" s="18">
        <f>IF(OR(K192="",L192="",L192=0),"",IF(D192="Short",(G192-K192)/L192,(K192-G192)/L192))</f>
        <v/>
      </c>
      <c r="N192" s="18">
        <f>IF(M192="","",SUM($M$2:M192))</f>
        <v/>
      </c>
      <c r="O192" s="19" t="n"/>
      <c r="P192" s="15" t="n"/>
      <c r="Q192" s="15" t="n"/>
      <c r="R192" s="15" t="n"/>
      <c r="S192">
        <f>IF(N192="","",MAX(0,MAX($N$2:N192)))</f>
        <v/>
      </c>
      <c r="T192">
        <f>IF(N192="","",S192-N192)</f>
        <v/>
      </c>
      <c r="U192">
        <f>IF(M192="","",IF(M192&lt;0,IF(U191="",1,U191+1),0))</f>
        <v/>
      </c>
    </row>
    <row r="193">
      <c r="A193" s="6">
        <f>IF(B193="","",ROW()-1)</f>
        <v/>
      </c>
      <c r="B193" s="15" t="n"/>
      <c r="C193" s="15" t="n"/>
      <c r="D193" s="15" t="n"/>
      <c r="E193" s="15" t="n"/>
      <c r="F193" s="15" t="n"/>
      <c r="G193" s="16" t="n"/>
      <c r="H193" s="16" t="n"/>
      <c r="I193" s="16" t="n"/>
      <c r="J193" s="15" t="n"/>
      <c r="K193" s="16" t="n"/>
      <c r="L193" s="17">
        <f>IF(OR(G193="",H193=""),"",ABS(G193-H193))</f>
        <v/>
      </c>
      <c r="M193" s="18">
        <f>IF(OR(K193="",L193="",L193=0),"",IF(D193="Short",(G193-K193)/L193,(K193-G193)/L193))</f>
        <v/>
      </c>
      <c r="N193" s="18">
        <f>IF(M193="","",SUM($M$2:M193))</f>
        <v/>
      </c>
      <c r="O193" s="19" t="n"/>
      <c r="P193" s="15" t="n"/>
      <c r="Q193" s="15" t="n"/>
      <c r="R193" s="15" t="n"/>
      <c r="S193">
        <f>IF(N193="","",MAX(0,MAX($N$2:N193)))</f>
        <v/>
      </c>
      <c r="T193">
        <f>IF(N193="","",S193-N193)</f>
        <v/>
      </c>
      <c r="U193">
        <f>IF(M193="","",IF(M193&lt;0,IF(U192="",1,U192+1),0))</f>
        <v/>
      </c>
    </row>
    <row r="194">
      <c r="A194" s="6">
        <f>IF(B194="","",ROW()-1)</f>
        <v/>
      </c>
      <c r="B194" s="15" t="n"/>
      <c r="C194" s="15" t="n"/>
      <c r="D194" s="15" t="n"/>
      <c r="E194" s="15" t="n"/>
      <c r="F194" s="15" t="n"/>
      <c r="G194" s="16" t="n"/>
      <c r="H194" s="16" t="n"/>
      <c r="I194" s="16" t="n"/>
      <c r="J194" s="15" t="n"/>
      <c r="K194" s="16" t="n"/>
      <c r="L194" s="17">
        <f>IF(OR(G194="",H194=""),"",ABS(G194-H194))</f>
        <v/>
      </c>
      <c r="M194" s="18">
        <f>IF(OR(K194="",L194="",L194=0),"",IF(D194="Short",(G194-K194)/L194,(K194-G194)/L194))</f>
        <v/>
      </c>
      <c r="N194" s="18">
        <f>IF(M194="","",SUM($M$2:M194))</f>
        <v/>
      </c>
      <c r="O194" s="19" t="n"/>
      <c r="P194" s="15" t="n"/>
      <c r="Q194" s="15" t="n"/>
      <c r="R194" s="15" t="n"/>
      <c r="S194">
        <f>IF(N194="","",MAX(0,MAX($N$2:N194)))</f>
        <v/>
      </c>
      <c r="T194">
        <f>IF(N194="","",S194-N194)</f>
        <v/>
      </c>
      <c r="U194">
        <f>IF(M194="","",IF(M194&lt;0,IF(U193="",1,U193+1),0))</f>
        <v/>
      </c>
    </row>
    <row r="195">
      <c r="A195" s="6">
        <f>IF(B195="","",ROW()-1)</f>
        <v/>
      </c>
      <c r="B195" s="15" t="n"/>
      <c r="C195" s="15" t="n"/>
      <c r="D195" s="15" t="n"/>
      <c r="E195" s="15" t="n"/>
      <c r="F195" s="15" t="n"/>
      <c r="G195" s="16" t="n"/>
      <c r="H195" s="16" t="n"/>
      <c r="I195" s="16" t="n"/>
      <c r="J195" s="15" t="n"/>
      <c r="K195" s="16" t="n"/>
      <c r="L195" s="17">
        <f>IF(OR(G195="",H195=""),"",ABS(G195-H195))</f>
        <v/>
      </c>
      <c r="M195" s="18">
        <f>IF(OR(K195="",L195="",L195=0),"",IF(D195="Short",(G195-K195)/L195,(K195-G195)/L195))</f>
        <v/>
      </c>
      <c r="N195" s="18">
        <f>IF(M195="","",SUM($M$2:M195))</f>
        <v/>
      </c>
      <c r="O195" s="19" t="n"/>
      <c r="P195" s="15" t="n"/>
      <c r="Q195" s="15" t="n"/>
      <c r="R195" s="15" t="n"/>
      <c r="S195">
        <f>IF(N195="","",MAX(0,MAX($N$2:N195)))</f>
        <v/>
      </c>
      <c r="T195">
        <f>IF(N195="","",S195-N195)</f>
        <v/>
      </c>
      <c r="U195">
        <f>IF(M195="","",IF(M195&lt;0,IF(U194="",1,U194+1),0))</f>
        <v/>
      </c>
    </row>
    <row r="196">
      <c r="A196" s="6">
        <f>IF(B196="","",ROW()-1)</f>
        <v/>
      </c>
      <c r="B196" s="15" t="n"/>
      <c r="C196" s="15" t="n"/>
      <c r="D196" s="15" t="n"/>
      <c r="E196" s="15" t="n"/>
      <c r="F196" s="15" t="n"/>
      <c r="G196" s="16" t="n"/>
      <c r="H196" s="16" t="n"/>
      <c r="I196" s="16" t="n"/>
      <c r="J196" s="15" t="n"/>
      <c r="K196" s="16" t="n"/>
      <c r="L196" s="17">
        <f>IF(OR(G196="",H196=""),"",ABS(G196-H196))</f>
        <v/>
      </c>
      <c r="M196" s="18">
        <f>IF(OR(K196="",L196="",L196=0),"",IF(D196="Short",(G196-K196)/L196,(K196-G196)/L196))</f>
        <v/>
      </c>
      <c r="N196" s="18">
        <f>IF(M196="","",SUM($M$2:M196))</f>
        <v/>
      </c>
      <c r="O196" s="19" t="n"/>
      <c r="P196" s="15" t="n"/>
      <c r="Q196" s="15" t="n"/>
      <c r="R196" s="15" t="n"/>
      <c r="S196">
        <f>IF(N196="","",MAX(0,MAX($N$2:N196)))</f>
        <v/>
      </c>
      <c r="T196">
        <f>IF(N196="","",S196-N196)</f>
        <v/>
      </c>
      <c r="U196">
        <f>IF(M196="","",IF(M196&lt;0,IF(U195="",1,U195+1),0))</f>
        <v/>
      </c>
    </row>
    <row r="197">
      <c r="A197" s="6">
        <f>IF(B197="","",ROW()-1)</f>
        <v/>
      </c>
      <c r="B197" s="15" t="n"/>
      <c r="C197" s="15" t="n"/>
      <c r="D197" s="15" t="n"/>
      <c r="E197" s="15" t="n"/>
      <c r="F197" s="15" t="n"/>
      <c r="G197" s="16" t="n"/>
      <c r="H197" s="16" t="n"/>
      <c r="I197" s="16" t="n"/>
      <c r="J197" s="15" t="n"/>
      <c r="K197" s="16" t="n"/>
      <c r="L197" s="17">
        <f>IF(OR(G197="",H197=""),"",ABS(G197-H197))</f>
        <v/>
      </c>
      <c r="M197" s="18">
        <f>IF(OR(K197="",L197="",L197=0),"",IF(D197="Short",(G197-K197)/L197,(K197-G197)/L197))</f>
        <v/>
      </c>
      <c r="N197" s="18">
        <f>IF(M197="","",SUM($M$2:M197))</f>
        <v/>
      </c>
      <c r="O197" s="19" t="n"/>
      <c r="P197" s="15" t="n"/>
      <c r="Q197" s="15" t="n"/>
      <c r="R197" s="15" t="n"/>
      <c r="S197">
        <f>IF(N197="","",MAX(0,MAX($N$2:N197)))</f>
        <v/>
      </c>
      <c r="T197">
        <f>IF(N197="","",S197-N197)</f>
        <v/>
      </c>
      <c r="U197">
        <f>IF(M197="","",IF(M197&lt;0,IF(U196="",1,U196+1),0))</f>
        <v/>
      </c>
    </row>
    <row r="198">
      <c r="A198" s="6">
        <f>IF(B198="","",ROW()-1)</f>
        <v/>
      </c>
      <c r="B198" s="15" t="n"/>
      <c r="C198" s="15" t="n"/>
      <c r="D198" s="15" t="n"/>
      <c r="E198" s="15" t="n"/>
      <c r="F198" s="15" t="n"/>
      <c r="G198" s="16" t="n"/>
      <c r="H198" s="16" t="n"/>
      <c r="I198" s="16" t="n"/>
      <c r="J198" s="15" t="n"/>
      <c r="K198" s="16" t="n"/>
      <c r="L198" s="17">
        <f>IF(OR(G198="",H198=""),"",ABS(G198-H198))</f>
        <v/>
      </c>
      <c r="M198" s="18">
        <f>IF(OR(K198="",L198="",L198=0),"",IF(D198="Short",(G198-K198)/L198,(K198-G198)/L198))</f>
        <v/>
      </c>
      <c r="N198" s="18">
        <f>IF(M198="","",SUM($M$2:M198))</f>
        <v/>
      </c>
      <c r="O198" s="19" t="n"/>
      <c r="P198" s="15" t="n"/>
      <c r="Q198" s="15" t="n"/>
      <c r="R198" s="15" t="n"/>
      <c r="S198">
        <f>IF(N198="","",MAX(0,MAX($N$2:N198)))</f>
        <v/>
      </c>
      <c r="T198">
        <f>IF(N198="","",S198-N198)</f>
        <v/>
      </c>
      <c r="U198">
        <f>IF(M198="","",IF(M198&lt;0,IF(U197="",1,U197+1),0))</f>
        <v/>
      </c>
    </row>
    <row r="199">
      <c r="A199" s="6">
        <f>IF(B199="","",ROW()-1)</f>
        <v/>
      </c>
      <c r="B199" s="15" t="n"/>
      <c r="C199" s="15" t="n"/>
      <c r="D199" s="15" t="n"/>
      <c r="E199" s="15" t="n"/>
      <c r="F199" s="15" t="n"/>
      <c r="G199" s="16" t="n"/>
      <c r="H199" s="16" t="n"/>
      <c r="I199" s="16" t="n"/>
      <c r="J199" s="15" t="n"/>
      <c r="K199" s="16" t="n"/>
      <c r="L199" s="17">
        <f>IF(OR(G199="",H199=""),"",ABS(G199-H199))</f>
        <v/>
      </c>
      <c r="M199" s="18">
        <f>IF(OR(K199="",L199="",L199=0),"",IF(D199="Short",(G199-K199)/L199,(K199-G199)/L199))</f>
        <v/>
      </c>
      <c r="N199" s="18">
        <f>IF(M199="","",SUM($M$2:M199))</f>
        <v/>
      </c>
      <c r="O199" s="19" t="n"/>
      <c r="P199" s="15" t="n"/>
      <c r="Q199" s="15" t="n"/>
      <c r="R199" s="15" t="n"/>
      <c r="S199">
        <f>IF(N199="","",MAX(0,MAX($N$2:N199)))</f>
        <v/>
      </c>
      <c r="T199">
        <f>IF(N199="","",S199-N199)</f>
        <v/>
      </c>
      <c r="U199">
        <f>IF(M199="","",IF(M199&lt;0,IF(U198="",1,U198+1),0))</f>
        <v/>
      </c>
    </row>
    <row r="200">
      <c r="A200" s="6">
        <f>IF(B200="","",ROW()-1)</f>
        <v/>
      </c>
      <c r="B200" s="15" t="n"/>
      <c r="C200" s="15" t="n"/>
      <c r="D200" s="15" t="n"/>
      <c r="E200" s="15" t="n"/>
      <c r="F200" s="15" t="n"/>
      <c r="G200" s="16" t="n"/>
      <c r="H200" s="16" t="n"/>
      <c r="I200" s="16" t="n"/>
      <c r="J200" s="15" t="n"/>
      <c r="K200" s="16" t="n"/>
      <c r="L200" s="17">
        <f>IF(OR(G200="",H200=""),"",ABS(G200-H200))</f>
        <v/>
      </c>
      <c r="M200" s="18">
        <f>IF(OR(K200="",L200="",L200=0),"",IF(D200="Short",(G200-K200)/L200,(K200-G200)/L200))</f>
        <v/>
      </c>
      <c r="N200" s="18">
        <f>IF(M200="","",SUM($M$2:M200))</f>
        <v/>
      </c>
      <c r="O200" s="19" t="n"/>
      <c r="P200" s="15" t="n"/>
      <c r="Q200" s="15" t="n"/>
      <c r="R200" s="15" t="n"/>
      <c r="S200">
        <f>IF(N200="","",MAX(0,MAX($N$2:N200)))</f>
        <v/>
      </c>
      <c r="T200">
        <f>IF(N200="","",S200-N200)</f>
        <v/>
      </c>
      <c r="U200">
        <f>IF(M200="","",IF(M200&lt;0,IF(U199="",1,U199+1),0))</f>
        <v/>
      </c>
    </row>
    <row r="201">
      <c r="A201" s="6">
        <f>IF(B201="","",ROW()-1)</f>
        <v/>
      </c>
      <c r="B201" s="15" t="n"/>
      <c r="C201" s="15" t="n"/>
      <c r="D201" s="15" t="n"/>
      <c r="E201" s="15" t="n"/>
      <c r="F201" s="15" t="n"/>
      <c r="G201" s="16" t="n"/>
      <c r="H201" s="16" t="n"/>
      <c r="I201" s="16" t="n"/>
      <c r="J201" s="15" t="n"/>
      <c r="K201" s="16" t="n"/>
      <c r="L201" s="17">
        <f>IF(OR(G201="",H201=""),"",ABS(G201-H201))</f>
        <v/>
      </c>
      <c r="M201" s="18">
        <f>IF(OR(K201="",L201="",L201=0),"",IF(D201="Short",(G201-K201)/L201,(K201-G201)/L201))</f>
        <v/>
      </c>
      <c r="N201" s="18">
        <f>IF(M201="","",SUM($M$2:M201))</f>
        <v/>
      </c>
      <c r="O201" s="19" t="n"/>
      <c r="P201" s="15" t="n"/>
      <c r="Q201" s="15" t="n"/>
      <c r="R201" s="15" t="n"/>
      <c r="S201">
        <f>IF(N201="","",MAX(0,MAX($N$2:N201)))</f>
        <v/>
      </c>
      <c r="T201">
        <f>IF(N201="","",S201-N201)</f>
        <v/>
      </c>
      <c r="U201">
        <f>IF(M201="","",IF(M201&lt;0,IF(U200="",1,U200+1),0))</f>
        <v/>
      </c>
    </row>
    <row r="202">
      <c r="A202" s="6">
        <f>IF(B202="","",ROW()-1)</f>
        <v/>
      </c>
      <c r="B202" s="15" t="n"/>
      <c r="C202" s="15" t="n"/>
      <c r="D202" s="15" t="n"/>
      <c r="E202" s="15" t="n"/>
      <c r="F202" s="15" t="n"/>
      <c r="G202" s="16" t="n"/>
      <c r="H202" s="16" t="n"/>
      <c r="I202" s="16" t="n"/>
      <c r="J202" s="15" t="n"/>
      <c r="K202" s="16" t="n"/>
      <c r="L202" s="17">
        <f>IF(OR(G202="",H202=""),"",ABS(G202-H202))</f>
        <v/>
      </c>
      <c r="M202" s="18">
        <f>IF(OR(K202="",L202="",L202=0),"",IF(D202="Short",(G202-K202)/L202,(K202-G202)/L202))</f>
        <v/>
      </c>
      <c r="N202" s="18">
        <f>IF(M202="","",SUM($M$2:M202))</f>
        <v/>
      </c>
      <c r="O202" s="19" t="n"/>
      <c r="P202" s="15" t="n"/>
      <c r="Q202" s="15" t="n"/>
      <c r="R202" s="15" t="n"/>
      <c r="S202">
        <f>IF(N202="","",MAX(0,MAX($N$2:N202)))</f>
        <v/>
      </c>
      <c r="T202">
        <f>IF(N202="","",S202-N202)</f>
        <v/>
      </c>
      <c r="U202">
        <f>IF(M202="","",IF(M202&lt;0,IF(U201="",1,U201+1),0))</f>
        <v/>
      </c>
    </row>
    <row r="203">
      <c r="A203" s="6">
        <f>IF(B203="","",ROW()-1)</f>
        <v/>
      </c>
      <c r="B203" s="15" t="n"/>
      <c r="C203" s="15" t="n"/>
      <c r="D203" s="15" t="n"/>
      <c r="E203" s="15" t="n"/>
      <c r="F203" s="15" t="n"/>
      <c r="G203" s="16" t="n"/>
      <c r="H203" s="16" t="n"/>
      <c r="I203" s="16" t="n"/>
      <c r="J203" s="15" t="n"/>
      <c r="K203" s="16" t="n"/>
      <c r="L203" s="17">
        <f>IF(OR(G203="",H203=""),"",ABS(G203-H203))</f>
        <v/>
      </c>
      <c r="M203" s="18">
        <f>IF(OR(K203="",L203="",L203=0),"",IF(D203="Short",(G203-K203)/L203,(K203-G203)/L203))</f>
        <v/>
      </c>
      <c r="N203" s="18">
        <f>IF(M203="","",SUM($M$2:M203))</f>
        <v/>
      </c>
      <c r="O203" s="19" t="n"/>
      <c r="P203" s="15" t="n"/>
      <c r="Q203" s="15" t="n"/>
      <c r="R203" s="15" t="n"/>
      <c r="S203">
        <f>IF(N203="","",MAX(0,MAX($N$2:N203)))</f>
        <v/>
      </c>
      <c r="T203">
        <f>IF(N203="","",S203-N203)</f>
        <v/>
      </c>
      <c r="U203">
        <f>IF(M203="","",IF(M203&lt;0,IF(U202="",1,U202+1),0))</f>
        <v/>
      </c>
    </row>
    <row r="204">
      <c r="A204" s="6">
        <f>IF(B204="","",ROW()-1)</f>
        <v/>
      </c>
      <c r="B204" s="15" t="n"/>
      <c r="C204" s="15" t="n"/>
      <c r="D204" s="15" t="n"/>
      <c r="E204" s="15" t="n"/>
      <c r="F204" s="15" t="n"/>
      <c r="G204" s="16" t="n"/>
      <c r="H204" s="16" t="n"/>
      <c r="I204" s="16" t="n"/>
      <c r="J204" s="15" t="n"/>
      <c r="K204" s="16" t="n"/>
      <c r="L204" s="17">
        <f>IF(OR(G204="",H204=""),"",ABS(G204-H204))</f>
        <v/>
      </c>
      <c r="M204" s="18">
        <f>IF(OR(K204="",L204="",L204=0),"",IF(D204="Short",(G204-K204)/L204,(K204-G204)/L204))</f>
        <v/>
      </c>
      <c r="N204" s="18">
        <f>IF(M204="","",SUM($M$2:M204))</f>
        <v/>
      </c>
      <c r="O204" s="19" t="n"/>
      <c r="P204" s="15" t="n"/>
      <c r="Q204" s="15" t="n"/>
      <c r="R204" s="15" t="n"/>
      <c r="S204">
        <f>IF(N204="","",MAX(0,MAX($N$2:N204)))</f>
        <v/>
      </c>
      <c r="T204">
        <f>IF(N204="","",S204-N204)</f>
        <v/>
      </c>
      <c r="U204">
        <f>IF(M204="","",IF(M204&lt;0,IF(U203="",1,U203+1),0))</f>
        <v/>
      </c>
    </row>
    <row r="205">
      <c r="A205" s="6">
        <f>IF(B205="","",ROW()-1)</f>
        <v/>
      </c>
      <c r="B205" s="15" t="n"/>
      <c r="C205" s="15" t="n"/>
      <c r="D205" s="15" t="n"/>
      <c r="E205" s="15" t="n"/>
      <c r="F205" s="15" t="n"/>
      <c r="G205" s="16" t="n"/>
      <c r="H205" s="16" t="n"/>
      <c r="I205" s="16" t="n"/>
      <c r="J205" s="15" t="n"/>
      <c r="K205" s="16" t="n"/>
      <c r="L205" s="17">
        <f>IF(OR(G205="",H205=""),"",ABS(G205-H205))</f>
        <v/>
      </c>
      <c r="M205" s="18">
        <f>IF(OR(K205="",L205="",L205=0),"",IF(D205="Short",(G205-K205)/L205,(K205-G205)/L205))</f>
        <v/>
      </c>
      <c r="N205" s="18">
        <f>IF(M205="","",SUM($M$2:M205))</f>
        <v/>
      </c>
      <c r="O205" s="19" t="n"/>
      <c r="P205" s="15" t="n"/>
      <c r="Q205" s="15" t="n"/>
      <c r="R205" s="15" t="n"/>
      <c r="S205">
        <f>IF(N205="","",MAX(0,MAX($N$2:N205)))</f>
        <v/>
      </c>
      <c r="T205">
        <f>IF(N205="","",S205-N205)</f>
        <v/>
      </c>
      <c r="U205">
        <f>IF(M205="","",IF(M205&lt;0,IF(U204="",1,U204+1),0))</f>
        <v/>
      </c>
    </row>
    <row r="206">
      <c r="A206" s="6">
        <f>IF(B206="","",ROW()-1)</f>
        <v/>
      </c>
      <c r="B206" s="15" t="n"/>
      <c r="C206" s="15" t="n"/>
      <c r="D206" s="15" t="n"/>
      <c r="E206" s="15" t="n"/>
      <c r="F206" s="15" t="n"/>
      <c r="G206" s="16" t="n"/>
      <c r="H206" s="16" t="n"/>
      <c r="I206" s="16" t="n"/>
      <c r="J206" s="15" t="n"/>
      <c r="K206" s="16" t="n"/>
      <c r="L206" s="17">
        <f>IF(OR(G206="",H206=""),"",ABS(G206-H206))</f>
        <v/>
      </c>
      <c r="M206" s="18">
        <f>IF(OR(K206="",L206="",L206=0),"",IF(D206="Short",(G206-K206)/L206,(K206-G206)/L206))</f>
        <v/>
      </c>
      <c r="N206" s="18">
        <f>IF(M206="","",SUM($M$2:M206))</f>
        <v/>
      </c>
      <c r="O206" s="19" t="n"/>
      <c r="P206" s="15" t="n"/>
      <c r="Q206" s="15" t="n"/>
      <c r="R206" s="15" t="n"/>
      <c r="S206">
        <f>IF(N206="","",MAX(0,MAX($N$2:N206)))</f>
        <v/>
      </c>
      <c r="T206">
        <f>IF(N206="","",S206-N206)</f>
        <v/>
      </c>
      <c r="U206">
        <f>IF(M206="","",IF(M206&lt;0,IF(U205="",1,U205+1),0))</f>
        <v/>
      </c>
    </row>
    <row r="207">
      <c r="A207" s="6">
        <f>IF(B207="","",ROW()-1)</f>
        <v/>
      </c>
      <c r="B207" s="15" t="n"/>
      <c r="C207" s="15" t="n"/>
      <c r="D207" s="15" t="n"/>
      <c r="E207" s="15" t="n"/>
      <c r="F207" s="15" t="n"/>
      <c r="G207" s="16" t="n"/>
      <c r="H207" s="16" t="n"/>
      <c r="I207" s="16" t="n"/>
      <c r="J207" s="15" t="n"/>
      <c r="K207" s="16" t="n"/>
      <c r="L207" s="17">
        <f>IF(OR(G207="",H207=""),"",ABS(G207-H207))</f>
        <v/>
      </c>
      <c r="M207" s="18">
        <f>IF(OR(K207="",L207="",L207=0),"",IF(D207="Short",(G207-K207)/L207,(K207-G207)/L207))</f>
        <v/>
      </c>
      <c r="N207" s="18">
        <f>IF(M207="","",SUM($M$2:M207))</f>
        <v/>
      </c>
      <c r="O207" s="19" t="n"/>
      <c r="P207" s="15" t="n"/>
      <c r="Q207" s="15" t="n"/>
      <c r="R207" s="15" t="n"/>
      <c r="S207">
        <f>IF(N207="","",MAX(0,MAX($N$2:N207)))</f>
        <v/>
      </c>
      <c r="T207">
        <f>IF(N207="","",S207-N207)</f>
        <v/>
      </c>
      <c r="U207">
        <f>IF(M207="","",IF(M207&lt;0,IF(U206="",1,U206+1),0))</f>
        <v/>
      </c>
    </row>
    <row r="208">
      <c r="A208" s="6">
        <f>IF(B208="","",ROW()-1)</f>
        <v/>
      </c>
      <c r="B208" s="15" t="n"/>
      <c r="C208" s="15" t="n"/>
      <c r="D208" s="15" t="n"/>
      <c r="E208" s="15" t="n"/>
      <c r="F208" s="15" t="n"/>
      <c r="G208" s="16" t="n"/>
      <c r="H208" s="16" t="n"/>
      <c r="I208" s="16" t="n"/>
      <c r="J208" s="15" t="n"/>
      <c r="K208" s="16" t="n"/>
      <c r="L208" s="17">
        <f>IF(OR(G208="",H208=""),"",ABS(G208-H208))</f>
        <v/>
      </c>
      <c r="M208" s="18">
        <f>IF(OR(K208="",L208="",L208=0),"",IF(D208="Short",(G208-K208)/L208,(K208-G208)/L208))</f>
        <v/>
      </c>
      <c r="N208" s="18">
        <f>IF(M208="","",SUM($M$2:M208))</f>
        <v/>
      </c>
      <c r="O208" s="19" t="n"/>
      <c r="P208" s="15" t="n"/>
      <c r="Q208" s="15" t="n"/>
      <c r="R208" s="15" t="n"/>
      <c r="S208">
        <f>IF(N208="","",MAX(0,MAX($N$2:N208)))</f>
        <v/>
      </c>
      <c r="T208">
        <f>IF(N208="","",S208-N208)</f>
        <v/>
      </c>
      <c r="U208">
        <f>IF(M208="","",IF(M208&lt;0,IF(U207="",1,U207+1),0))</f>
        <v/>
      </c>
    </row>
    <row r="209">
      <c r="A209" s="6">
        <f>IF(B209="","",ROW()-1)</f>
        <v/>
      </c>
      <c r="B209" s="15" t="n"/>
      <c r="C209" s="15" t="n"/>
      <c r="D209" s="15" t="n"/>
      <c r="E209" s="15" t="n"/>
      <c r="F209" s="15" t="n"/>
      <c r="G209" s="16" t="n"/>
      <c r="H209" s="16" t="n"/>
      <c r="I209" s="16" t="n"/>
      <c r="J209" s="15" t="n"/>
      <c r="K209" s="16" t="n"/>
      <c r="L209" s="17">
        <f>IF(OR(G209="",H209=""),"",ABS(G209-H209))</f>
        <v/>
      </c>
      <c r="M209" s="18">
        <f>IF(OR(K209="",L209="",L209=0),"",IF(D209="Short",(G209-K209)/L209,(K209-G209)/L209))</f>
        <v/>
      </c>
      <c r="N209" s="18">
        <f>IF(M209="","",SUM($M$2:M209))</f>
        <v/>
      </c>
      <c r="O209" s="19" t="n"/>
      <c r="P209" s="15" t="n"/>
      <c r="Q209" s="15" t="n"/>
      <c r="R209" s="15" t="n"/>
      <c r="S209">
        <f>IF(N209="","",MAX(0,MAX($N$2:N209)))</f>
        <v/>
      </c>
      <c r="T209">
        <f>IF(N209="","",S209-N209)</f>
        <v/>
      </c>
      <c r="U209">
        <f>IF(M209="","",IF(M209&lt;0,IF(U208="",1,U208+1),0))</f>
        <v/>
      </c>
    </row>
    <row r="210">
      <c r="A210" s="6">
        <f>IF(B210="","",ROW()-1)</f>
        <v/>
      </c>
      <c r="B210" s="15" t="n"/>
      <c r="C210" s="15" t="n"/>
      <c r="D210" s="15" t="n"/>
      <c r="E210" s="15" t="n"/>
      <c r="F210" s="15" t="n"/>
      <c r="G210" s="16" t="n"/>
      <c r="H210" s="16" t="n"/>
      <c r="I210" s="16" t="n"/>
      <c r="J210" s="15" t="n"/>
      <c r="K210" s="16" t="n"/>
      <c r="L210" s="17">
        <f>IF(OR(G210="",H210=""),"",ABS(G210-H210))</f>
        <v/>
      </c>
      <c r="M210" s="18">
        <f>IF(OR(K210="",L210="",L210=0),"",IF(D210="Short",(G210-K210)/L210,(K210-G210)/L210))</f>
        <v/>
      </c>
      <c r="N210" s="18">
        <f>IF(M210="","",SUM($M$2:M210))</f>
        <v/>
      </c>
      <c r="O210" s="19" t="n"/>
      <c r="P210" s="15" t="n"/>
      <c r="Q210" s="15" t="n"/>
      <c r="R210" s="15" t="n"/>
      <c r="S210">
        <f>IF(N210="","",MAX(0,MAX($N$2:N210)))</f>
        <v/>
      </c>
      <c r="T210">
        <f>IF(N210="","",S210-N210)</f>
        <v/>
      </c>
      <c r="U210">
        <f>IF(M210="","",IF(M210&lt;0,IF(U209="",1,U209+1),0))</f>
        <v/>
      </c>
    </row>
    <row r="211">
      <c r="A211" s="6">
        <f>IF(B211="","",ROW()-1)</f>
        <v/>
      </c>
      <c r="B211" s="15" t="n"/>
      <c r="C211" s="15" t="n"/>
      <c r="D211" s="15" t="n"/>
      <c r="E211" s="15" t="n"/>
      <c r="F211" s="15" t="n"/>
      <c r="G211" s="16" t="n"/>
      <c r="H211" s="16" t="n"/>
      <c r="I211" s="16" t="n"/>
      <c r="J211" s="15" t="n"/>
      <c r="K211" s="16" t="n"/>
      <c r="L211" s="17">
        <f>IF(OR(G211="",H211=""),"",ABS(G211-H211))</f>
        <v/>
      </c>
      <c r="M211" s="18">
        <f>IF(OR(K211="",L211="",L211=0),"",IF(D211="Short",(G211-K211)/L211,(K211-G211)/L211))</f>
        <v/>
      </c>
      <c r="N211" s="18">
        <f>IF(M211="","",SUM($M$2:M211))</f>
        <v/>
      </c>
      <c r="O211" s="19" t="n"/>
      <c r="P211" s="15" t="n"/>
      <c r="Q211" s="15" t="n"/>
      <c r="R211" s="15" t="n"/>
      <c r="S211">
        <f>IF(N211="","",MAX(0,MAX($N$2:N211)))</f>
        <v/>
      </c>
      <c r="T211">
        <f>IF(N211="","",S211-N211)</f>
        <v/>
      </c>
      <c r="U211">
        <f>IF(M211="","",IF(M211&lt;0,IF(U210="",1,U210+1),0))</f>
        <v/>
      </c>
    </row>
    <row r="212">
      <c r="A212" s="6">
        <f>IF(B212="","",ROW()-1)</f>
        <v/>
      </c>
      <c r="B212" s="15" t="n"/>
      <c r="C212" s="15" t="n"/>
      <c r="D212" s="15" t="n"/>
      <c r="E212" s="15" t="n"/>
      <c r="F212" s="15" t="n"/>
      <c r="G212" s="16" t="n"/>
      <c r="H212" s="16" t="n"/>
      <c r="I212" s="16" t="n"/>
      <c r="J212" s="15" t="n"/>
      <c r="K212" s="16" t="n"/>
      <c r="L212" s="17">
        <f>IF(OR(G212="",H212=""),"",ABS(G212-H212))</f>
        <v/>
      </c>
      <c r="M212" s="18">
        <f>IF(OR(K212="",L212="",L212=0),"",IF(D212="Short",(G212-K212)/L212,(K212-G212)/L212))</f>
        <v/>
      </c>
      <c r="N212" s="18">
        <f>IF(M212="","",SUM($M$2:M212))</f>
        <v/>
      </c>
      <c r="O212" s="19" t="n"/>
      <c r="P212" s="15" t="n"/>
      <c r="Q212" s="15" t="n"/>
      <c r="R212" s="15" t="n"/>
      <c r="S212">
        <f>IF(N212="","",MAX(0,MAX($N$2:N212)))</f>
        <v/>
      </c>
      <c r="T212">
        <f>IF(N212="","",S212-N212)</f>
        <v/>
      </c>
      <c r="U212">
        <f>IF(M212="","",IF(M212&lt;0,IF(U211="",1,U211+1),0))</f>
        <v/>
      </c>
    </row>
    <row r="213">
      <c r="A213" s="6">
        <f>IF(B213="","",ROW()-1)</f>
        <v/>
      </c>
      <c r="B213" s="15" t="n"/>
      <c r="C213" s="15" t="n"/>
      <c r="D213" s="15" t="n"/>
      <c r="E213" s="15" t="n"/>
      <c r="F213" s="15" t="n"/>
      <c r="G213" s="16" t="n"/>
      <c r="H213" s="16" t="n"/>
      <c r="I213" s="16" t="n"/>
      <c r="J213" s="15" t="n"/>
      <c r="K213" s="16" t="n"/>
      <c r="L213" s="17">
        <f>IF(OR(G213="",H213=""),"",ABS(G213-H213))</f>
        <v/>
      </c>
      <c r="M213" s="18">
        <f>IF(OR(K213="",L213="",L213=0),"",IF(D213="Short",(G213-K213)/L213,(K213-G213)/L213))</f>
        <v/>
      </c>
      <c r="N213" s="18">
        <f>IF(M213="","",SUM($M$2:M213))</f>
        <v/>
      </c>
      <c r="O213" s="19" t="n"/>
      <c r="P213" s="15" t="n"/>
      <c r="Q213" s="15" t="n"/>
      <c r="R213" s="15" t="n"/>
      <c r="S213">
        <f>IF(N213="","",MAX(0,MAX($N$2:N213)))</f>
        <v/>
      </c>
      <c r="T213">
        <f>IF(N213="","",S213-N213)</f>
        <v/>
      </c>
      <c r="U213">
        <f>IF(M213="","",IF(M213&lt;0,IF(U212="",1,U212+1),0))</f>
        <v/>
      </c>
    </row>
    <row r="214">
      <c r="A214" s="6">
        <f>IF(B214="","",ROW()-1)</f>
        <v/>
      </c>
      <c r="B214" s="15" t="n"/>
      <c r="C214" s="15" t="n"/>
      <c r="D214" s="15" t="n"/>
      <c r="E214" s="15" t="n"/>
      <c r="F214" s="15" t="n"/>
      <c r="G214" s="16" t="n"/>
      <c r="H214" s="16" t="n"/>
      <c r="I214" s="16" t="n"/>
      <c r="J214" s="15" t="n"/>
      <c r="K214" s="16" t="n"/>
      <c r="L214" s="17">
        <f>IF(OR(G214="",H214=""),"",ABS(G214-H214))</f>
        <v/>
      </c>
      <c r="M214" s="18">
        <f>IF(OR(K214="",L214="",L214=0),"",IF(D214="Short",(G214-K214)/L214,(K214-G214)/L214))</f>
        <v/>
      </c>
      <c r="N214" s="18">
        <f>IF(M214="","",SUM($M$2:M214))</f>
        <v/>
      </c>
      <c r="O214" s="19" t="n"/>
      <c r="P214" s="15" t="n"/>
      <c r="Q214" s="15" t="n"/>
      <c r="R214" s="15" t="n"/>
      <c r="S214">
        <f>IF(N214="","",MAX(0,MAX($N$2:N214)))</f>
        <v/>
      </c>
      <c r="T214">
        <f>IF(N214="","",S214-N214)</f>
        <v/>
      </c>
      <c r="U214">
        <f>IF(M214="","",IF(M214&lt;0,IF(U213="",1,U213+1),0))</f>
        <v/>
      </c>
    </row>
    <row r="215">
      <c r="A215" s="6">
        <f>IF(B215="","",ROW()-1)</f>
        <v/>
      </c>
      <c r="B215" s="15" t="n"/>
      <c r="C215" s="15" t="n"/>
      <c r="D215" s="15" t="n"/>
      <c r="E215" s="15" t="n"/>
      <c r="F215" s="15" t="n"/>
      <c r="G215" s="16" t="n"/>
      <c r="H215" s="16" t="n"/>
      <c r="I215" s="16" t="n"/>
      <c r="J215" s="15" t="n"/>
      <c r="K215" s="16" t="n"/>
      <c r="L215" s="17">
        <f>IF(OR(G215="",H215=""),"",ABS(G215-H215))</f>
        <v/>
      </c>
      <c r="M215" s="18">
        <f>IF(OR(K215="",L215="",L215=0),"",IF(D215="Short",(G215-K215)/L215,(K215-G215)/L215))</f>
        <v/>
      </c>
      <c r="N215" s="18">
        <f>IF(M215="","",SUM($M$2:M215))</f>
        <v/>
      </c>
      <c r="O215" s="19" t="n"/>
      <c r="P215" s="15" t="n"/>
      <c r="Q215" s="15" t="n"/>
      <c r="R215" s="15" t="n"/>
      <c r="S215">
        <f>IF(N215="","",MAX(0,MAX($N$2:N215)))</f>
        <v/>
      </c>
      <c r="T215">
        <f>IF(N215="","",S215-N215)</f>
        <v/>
      </c>
      <c r="U215">
        <f>IF(M215="","",IF(M215&lt;0,IF(U214="",1,U214+1),0))</f>
        <v/>
      </c>
    </row>
    <row r="216">
      <c r="A216" s="6">
        <f>IF(B216="","",ROW()-1)</f>
        <v/>
      </c>
      <c r="B216" s="15" t="n"/>
      <c r="C216" s="15" t="n"/>
      <c r="D216" s="15" t="n"/>
      <c r="E216" s="15" t="n"/>
      <c r="F216" s="15" t="n"/>
      <c r="G216" s="16" t="n"/>
      <c r="H216" s="16" t="n"/>
      <c r="I216" s="16" t="n"/>
      <c r="J216" s="15" t="n"/>
      <c r="K216" s="16" t="n"/>
      <c r="L216" s="17">
        <f>IF(OR(G216="",H216=""),"",ABS(G216-H216))</f>
        <v/>
      </c>
      <c r="M216" s="18">
        <f>IF(OR(K216="",L216="",L216=0),"",IF(D216="Short",(G216-K216)/L216,(K216-G216)/L216))</f>
        <v/>
      </c>
      <c r="N216" s="18">
        <f>IF(M216="","",SUM($M$2:M216))</f>
        <v/>
      </c>
      <c r="O216" s="19" t="n"/>
      <c r="P216" s="15" t="n"/>
      <c r="Q216" s="15" t="n"/>
      <c r="R216" s="15" t="n"/>
      <c r="S216">
        <f>IF(N216="","",MAX(0,MAX($N$2:N216)))</f>
        <v/>
      </c>
      <c r="T216">
        <f>IF(N216="","",S216-N216)</f>
        <v/>
      </c>
      <c r="U216">
        <f>IF(M216="","",IF(M216&lt;0,IF(U215="",1,U215+1),0))</f>
        <v/>
      </c>
    </row>
    <row r="217">
      <c r="A217" s="6">
        <f>IF(B217="","",ROW()-1)</f>
        <v/>
      </c>
      <c r="B217" s="15" t="n"/>
      <c r="C217" s="15" t="n"/>
      <c r="D217" s="15" t="n"/>
      <c r="E217" s="15" t="n"/>
      <c r="F217" s="15" t="n"/>
      <c r="G217" s="16" t="n"/>
      <c r="H217" s="16" t="n"/>
      <c r="I217" s="16" t="n"/>
      <c r="J217" s="15" t="n"/>
      <c r="K217" s="16" t="n"/>
      <c r="L217" s="17">
        <f>IF(OR(G217="",H217=""),"",ABS(G217-H217))</f>
        <v/>
      </c>
      <c r="M217" s="18">
        <f>IF(OR(K217="",L217="",L217=0),"",IF(D217="Short",(G217-K217)/L217,(K217-G217)/L217))</f>
        <v/>
      </c>
      <c r="N217" s="18">
        <f>IF(M217="","",SUM($M$2:M217))</f>
        <v/>
      </c>
      <c r="O217" s="19" t="n"/>
      <c r="P217" s="15" t="n"/>
      <c r="Q217" s="15" t="n"/>
      <c r="R217" s="15" t="n"/>
      <c r="S217">
        <f>IF(N217="","",MAX(0,MAX($N$2:N217)))</f>
        <v/>
      </c>
      <c r="T217">
        <f>IF(N217="","",S217-N217)</f>
        <v/>
      </c>
      <c r="U217">
        <f>IF(M217="","",IF(M217&lt;0,IF(U216="",1,U216+1),0))</f>
        <v/>
      </c>
    </row>
    <row r="218">
      <c r="A218" s="6">
        <f>IF(B218="","",ROW()-1)</f>
        <v/>
      </c>
      <c r="B218" s="15" t="n"/>
      <c r="C218" s="15" t="n"/>
      <c r="D218" s="15" t="n"/>
      <c r="E218" s="15" t="n"/>
      <c r="F218" s="15" t="n"/>
      <c r="G218" s="16" t="n"/>
      <c r="H218" s="16" t="n"/>
      <c r="I218" s="16" t="n"/>
      <c r="J218" s="15" t="n"/>
      <c r="K218" s="16" t="n"/>
      <c r="L218" s="17">
        <f>IF(OR(G218="",H218=""),"",ABS(G218-H218))</f>
        <v/>
      </c>
      <c r="M218" s="18">
        <f>IF(OR(K218="",L218="",L218=0),"",IF(D218="Short",(G218-K218)/L218,(K218-G218)/L218))</f>
        <v/>
      </c>
      <c r="N218" s="18">
        <f>IF(M218="","",SUM($M$2:M218))</f>
        <v/>
      </c>
      <c r="O218" s="19" t="n"/>
      <c r="P218" s="15" t="n"/>
      <c r="Q218" s="15" t="n"/>
      <c r="R218" s="15" t="n"/>
      <c r="S218">
        <f>IF(N218="","",MAX(0,MAX($N$2:N218)))</f>
        <v/>
      </c>
      <c r="T218">
        <f>IF(N218="","",S218-N218)</f>
        <v/>
      </c>
      <c r="U218">
        <f>IF(M218="","",IF(M218&lt;0,IF(U217="",1,U217+1),0))</f>
        <v/>
      </c>
    </row>
    <row r="219">
      <c r="A219" s="6">
        <f>IF(B219="","",ROW()-1)</f>
        <v/>
      </c>
      <c r="B219" s="15" t="n"/>
      <c r="C219" s="15" t="n"/>
      <c r="D219" s="15" t="n"/>
      <c r="E219" s="15" t="n"/>
      <c r="F219" s="15" t="n"/>
      <c r="G219" s="16" t="n"/>
      <c r="H219" s="16" t="n"/>
      <c r="I219" s="16" t="n"/>
      <c r="J219" s="15" t="n"/>
      <c r="K219" s="16" t="n"/>
      <c r="L219" s="17">
        <f>IF(OR(G219="",H219=""),"",ABS(G219-H219))</f>
        <v/>
      </c>
      <c r="M219" s="18">
        <f>IF(OR(K219="",L219="",L219=0),"",IF(D219="Short",(G219-K219)/L219,(K219-G219)/L219))</f>
        <v/>
      </c>
      <c r="N219" s="18">
        <f>IF(M219="","",SUM($M$2:M219))</f>
        <v/>
      </c>
      <c r="O219" s="19" t="n"/>
      <c r="P219" s="15" t="n"/>
      <c r="Q219" s="15" t="n"/>
      <c r="R219" s="15" t="n"/>
      <c r="S219">
        <f>IF(N219="","",MAX(0,MAX($N$2:N219)))</f>
        <v/>
      </c>
      <c r="T219">
        <f>IF(N219="","",S219-N219)</f>
        <v/>
      </c>
      <c r="U219">
        <f>IF(M219="","",IF(M219&lt;0,IF(U218="",1,U218+1),0))</f>
        <v/>
      </c>
    </row>
    <row r="220">
      <c r="A220" s="6">
        <f>IF(B220="","",ROW()-1)</f>
        <v/>
      </c>
      <c r="B220" s="15" t="n"/>
      <c r="C220" s="15" t="n"/>
      <c r="D220" s="15" t="n"/>
      <c r="E220" s="15" t="n"/>
      <c r="F220" s="15" t="n"/>
      <c r="G220" s="16" t="n"/>
      <c r="H220" s="16" t="n"/>
      <c r="I220" s="16" t="n"/>
      <c r="J220" s="15" t="n"/>
      <c r="K220" s="16" t="n"/>
      <c r="L220" s="17">
        <f>IF(OR(G220="",H220=""),"",ABS(G220-H220))</f>
        <v/>
      </c>
      <c r="M220" s="18">
        <f>IF(OR(K220="",L220="",L220=0),"",IF(D220="Short",(G220-K220)/L220,(K220-G220)/L220))</f>
        <v/>
      </c>
      <c r="N220" s="18">
        <f>IF(M220="","",SUM($M$2:M220))</f>
        <v/>
      </c>
      <c r="O220" s="19" t="n"/>
      <c r="P220" s="15" t="n"/>
      <c r="Q220" s="15" t="n"/>
      <c r="R220" s="15" t="n"/>
      <c r="S220">
        <f>IF(N220="","",MAX(0,MAX($N$2:N220)))</f>
        <v/>
      </c>
      <c r="T220">
        <f>IF(N220="","",S220-N220)</f>
        <v/>
      </c>
      <c r="U220">
        <f>IF(M220="","",IF(M220&lt;0,IF(U219="",1,U219+1),0))</f>
        <v/>
      </c>
    </row>
    <row r="221">
      <c r="A221" s="6">
        <f>IF(B221="","",ROW()-1)</f>
        <v/>
      </c>
      <c r="B221" s="15" t="n"/>
      <c r="C221" s="15" t="n"/>
      <c r="D221" s="15" t="n"/>
      <c r="E221" s="15" t="n"/>
      <c r="F221" s="15" t="n"/>
      <c r="G221" s="16" t="n"/>
      <c r="H221" s="16" t="n"/>
      <c r="I221" s="16" t="n"/>
      <c r="J221" s="15" t="n"/>
      <c r="K221" s="16" t="n"/>
      <c r="L221" s="17">
        <f>IF(OR(G221="",H221=""),"",ABS(G221-H221))</f>
        <v/>
      </c>
      <c r="M221" s="18">
        <f>IF(OR(K221="",L221="",L221=0),"",IF(D221="Short",(G221-K221)/L221,(K221-G221)/L221))</f>
        <v/>
      </c>
      <c r="N221" s="18">
        <f>IF(M221="","",SUM($M$2:M221))</f>
        <v/>
      </c>
      <c r="O221" s="19" t="n"/>
      <c r="P221" s="15" t="n"/>
      <c r="Q221" s="15" t="n"/>
      <c r="R221" s="15" t="n"/>
      <c r="S221">
        <f>IF(N221="","",MAX(0,MAX($N$2:N221)))</f>
        <v/>
      </c>
      <c r="T221">
        <f>IF(N221="","",S221-N221)</f>
        <v/>
      </c>
      <c r="U221">
        <f>IF(M221="","",IF(M221&lt;0,IF(U220="",1,U220+1),0))</f>
        <v/>
      </c>
    </row>
    <row r="222">
      <c r="A222" s="6">
        <f>IF(B222="","",ROW()-1)</f>
        <v/>
      </c>
      <c r="B222" s="15" t="n"/>
      <c r="C222" s="15" t="n"/>
      <c r="D222" s="15" t="n"/>
      <c r="E222" s="15" t="n"/>
      <c r="F222" s="15" t="n"/>
      <c r="G222" s="16" t="n"/>
      <c r="H222" s="16" t="n"/>
      <c r="I222" s="16" t="n"/>
      <c r="J222" s="15" t="n"/>
      <c r="K222" s="16" t="n"/>
      <c r="L222" s="17">
        <f>IF(OR(G222="",H222=""),"",ABS(G222-H222))</f>
        <v/>
      </c>
      <c r="M222" s="18">
        <f>IF(OR(K222="",L222="",L222=0),"",IF(D222="Short",(G222-K222)/L222,(K222-G222)/L222))</f>
        <v/>
      </c>
      <c r="N222" s="18">
        <f>IF(M222="","",SUM($M$2:M222))</f>
        <v/>
      </c>
      <c r="O222" s="19" t="n"/>
      <c r="P222" s="15" t="n"/>
      <c r="Q222" s="15" t="n"/>
      <c r="R222" s="15" t="n"/>
      <c r="S222">
        <f>IF(N222="","",MAX(0,MAX($N$2:N222)))</f>
        <v/>
      </c>
      <c r="T222">
        <f>IF(N222="","",S222-N222)</f>
        <v/>
      </c>
      <c r="U222">
        <f>IF(M222="","",IF(M222&lt;0,IF(U221="",1,U221+1),0))</f>
        <v/>
      </c>
    </row>
    <row r="223">
      <c r="A223" s="6">
        <f>IF(B223="","",ROW()-1)</f>
        <v/>
      </c>
      <c r="B223" s="15" t="n"/>
      <c r="C223" s="15" t="n"/>
      <c r="D223" s="15" t="n"/>
      <c r="E223" s="15" t="n"/>
      <c r="F223" s="15" t="n"/>
      <c r="G223" s="16" t="n"/>
      <c r="H223" s="16" t="n"/>
      <c r="I223" s="16" t="n"/>
      <c r="J223" s="15" t="n"/>
      <c r="K223" s="16" t="n"/>
      <c r="L223" s="17">
        <f>IF(OR(G223="",H223=""),"",ABS(G223-H223))</f>
        <v/>
      </c>
      <c r="M223" s="18">
        <f>IF(OR(K223="",L223="",L223=0),"",IF(D223="Short",(G223-K223)/L223,(K223-G223)/L223))</f>
        <v/>
      </c>
      <c r="N223" s="18">
        <f>IF(M223="","",SUM($M$2:M223))</f>
        <v/>
      </c>
      <c r="O223" s="19" t="n"/>
      <c r="P223" s="15" t="n"/>
      <c r="Q223" s="15" t="n"/>
      <c r="R223" s="15" t="n"/>
      <c r="S223">
        <f>IF(N223="","",MAX(0,MAX($N$2:N223)))</f>
        <v/>
      </c>
      <c r="T223">
        <f>IF(N223="","",S223-N223)</f>
        <v/>
      </c>
      <c r="U223">
        <f>IF(M223="","",IF(M223&lt;0,IF(U222="",1,U222+1),0))</f>
        <v/>
      </c>
    </row>
    <row r="224">
      <c r="A224" s="6">
        <f>IF(B224="","",ROW()-1)</f>
        <v/>
      </c>
      <c r="B224" s="15" t="n"/>
      <c r="C224" s="15" t="n"/>
      <c r="D224" s="15" t="n"/>
      <c r="E224" s="15" t="n"/>
      <c r="F224" s="15" t="n"/>
      <c r="G224" s="16" t="n"/>
      <c r="H224" s="16" t="n"/>
      <c r="I224" s="16" t="n"/>
      <c r="J224" s="15" t="n"/>
      <c r="K224" s="16" t="n"/>
      <c r="L224" s="17">
        <f>IF(OR(G224="",H224=""),"",ABS(G224-H224))</f>
        <v/>
      </c>
      <c r="M224" s="18">
        <f>IF(OR(K224="",L224="",L224=0),"",IF(D224="Short",(G224-K224)/L224,(K224-G224)/L224))</f>
        <v/>
      </c>
      <c r="N224" s="18">
        <f>IF(M224="","",SUM($M$2:M224))</f>
        <v/>
      </c>
      <c r="O224" s="19" t="n"/>
      <c r="P224" s="15" t="n"/>
      <c r="Q224" s="15" t="n"/>
      <c r="R224" s="15" t="n"/>
      <c r="S224">
        <f>IF(N224="","",MAX(0,MAX($N$2:N224)))</f>
        <v/>
      </c>
      <c r="T224">
        <f>IF(N224="","",S224-N224)</f>
        <v/>
      </c>
      <c r="U224">
        <f>IF(M224="","",IF(M224&lt;0,IF(U223="",1,U223+1),0))</f>
        <v/>
      </c>
    </row>
    <row r="225">
      <c r="A225" s="6">
        <f>IF(B225="","",ROW()-1)</f>
        <v/>
      </c>
      <c r="B225" s="15" t="n"/>
      <c r="C225" s="15" t="n"/>
      <c r="D225" s="15" t="n"/>
      <c r="E225" s="15" t="n"/>
      <c r="F225" s="15" t="n"/>
      <c r="G225" s="16" t="n"/>
      <c r="H225" s="16" t="n"/>
      <c r="I225" s="16" t="n"/>
      <c r="J225" s="15" t="n"/>
      <c r="K225" s="16" t="n"/>
      <c r="L225" s="17">
        <f>IF(OR(G225="",H225=""),"",ABS(G225-H225))</f>
        <v/>
      </c>
      <c r="M225" s="18">
        <f>IF(OR(K225="",L225="",L225=0),"",IF(D225="Short",(G225-K225)/L225,(K225-G225)/L225))</f>
        <v/>
      </c>
      <c r="N225" s="18">
        <f>IF(M225="","",SUM($M$2:M225))</f>
        <v/>
      </c>
      <c r="O225" s="19" t="n"/>
      <c r="P225" s="15" t="n"/>
      <c r="Q225" s="15" t="n"/>
      <c r="R225" s="15" t="n"/>
      <c r="S225">
        <f>IF(N225="","",MAX(0,MAX($N$2:N225)))</f>
        <v/>
      </c>
      <c r="T225">
        <f>IF(N225="","",S225-N225)</f>
        <v/>
      </c>
      <c r="U225">
        <f>IF(M225="","",IF(M225&lt;0,IF(U224="",1,U224+1),0))</f>
        <v/>
      </c>
    </row>
    <row r="226">
      <c r="A226" s="6">
        <f>IF(B226="","",ROW()-1)</f>
        <v/>
      </c>
      <c r="B226" s="15" t="n"/>
      <c r="C226" s="15" t="n"/>
      <c r="D226" s="15" t="n"/>
      <c r="E226" s="15" t="n"/>
      <c r="F226" s="15" t="n"/>
      <c r="G226" s="16" t="n"/>
      <c r="H226" s="16" t="n"/>
      <c r="I226" s="16" t="n"/>
      <c r="J226" s="15" t="n"/>
      <c r="K226" s="16" t="n"/>
      <c r="L226" s="17">
        <f>IF(OR(G226="",H226=""),"",ABS(G226-H226))</f>
        <v/>
      </c>
      <c r="M226" s="18">
        <f>IF(OR(K226="",L226="",L226=0),"",IF(D226="Short",(G226-K226)/L226,(K226-G226)/L226))</f>
        <v/>
      </c>
      <c r="N226" s="18">
        <f>IF(M226="","",SUM($M$2:M226))</f>
        <v/>
      </c>
      <c r="O226" s="19" t="n"/>
      <c r="P226" s="15" t="n"/>
      <c r="Q226" s="15" t="n"/>
      <c r="R226" s="15" t="n"/>
      <c r="S226">
        <f>IF(N226="","",MAX(0,MAX($N$2:N226)))</f>
        <v/>
      </c>
      <c r="T226">
        <f>IF(N226="","",S226-N226)</f>
        <v/>
      </c>
      <c r="U226">
        <f>IF(M226="","",IF(M226&lt;0,IF(U225="",1,U225+1),0))</f>
        <v/>
      </c>
    </row>
    <row r="227">
      <c r="A227" s="6">
        <f>IF(B227="","",ROW()-1)</f>
        <v/>
      </c>
      <c r="B227" s="15" t="n"/>
      <c r="C227" s="15" t="n"/>
      <c r="D227" s="15" t="n"/>
      <c r="E227" s="15" t="n"/>
      <c r="F227" s="15" t="n"/>
      <c r="G227" s="16" t="n"/>
      <c r="H227" s="16" t="n"/>
      <c r="I227" s="16" t="n"/>
      <c r="J227" s="15" t="n"/>
      <c r="K227" s="16" t="n"/>
      <c r="L227" s="17">
        <f>IF(OR(G227="",H227=""),"",ABS(G227-H227))</f>
        <v/>
      </c>
      <c r="M227" s="18">
        <f>IF(OR(K227="",L227="",L227=0),"",IF(D227="Short",(G227-K227)/L227,(K227-G227)/L227))</f>
        <v/>
      </c>
      <c r="N227" s="18">
        <f>IF(M227="","",SUM($M$2:M227))</f>
        <v/>
      </c>
      <c r="O227" s="19" t="n"/>
      <c r="P227" s="15" t="n"/>
      <c r="Q227" s="15" t="n"/>
      <c r="R227" s="15" t="n"/>
      <c r="S227">
        <f>IF(N227="","",MAX(0,MAX($N$2:N227)))</f>
        <v/>
      </c>
      <c r="T227">
        <f>IF(N227="","",S227-N227)</f>
        <v/>
      </c>
      <c r="U227">
        <f>IF(M227="","",IF(M227&lt;0,IF(U226="",1,U226+1),0))</f>
        <v/>
      </c>
    </row>
    <row r="228">
      <c r="A228" s="6">
        <f>IF(B228="","",ROW()-1)</f>
        <v/>
      </c>
      <c r="B228" s="15" t="n"/>
      <c r="C228" s="15" t="n"/>
      <c r="D228" s="15" t="n"/>
      <c r="E228" s="15" t="n"/>
      <c r="F228" s="15" t="n"/>
      <c r="G228" s="16" t="n"/>
      <c r="H228" s="16" t="n"/>
      <c r="I228" s="16" t="n"/>
      <c r="J228" s="15" t="n"/>
      <c r="K228" s="16" t="n"/>
      <c r="L228" s="17">
        <f>IF(OR(G228="",H228=""),"",ABS(G228-H228))</f>
        <v/>
      </c>
      <c r="M228" s="18">
        <f>IF(OR(K228="",L228="",L228=0),"",IF(D228="Short",(G228-K228)/L228,(K228-G228)/L228))</f>
        <v/>
      </c>
      <c r="N228" s="18">
        <f>IF(M228="","",SUM($M$2:M228))</f>
        <v/>
      </c>
      <c r="O228" s="19" t="n"/>
      <c r="P228" s="15" t="n"/>
      <c r="Q228" s="15" t="n"/>
      <c r="R228" s="15" t="n"/>
      <c r="S228">
        <f>IF(N228="","",MAX(0,MAX($N$2:N228)))</f>
        <v/>
      </c>
      <c r="T228">
        <f>IF(N228="","",S228-N228)</f>
        <v/>
      </c>
      <c r="U228">
        <f>IF(M228="","",IF(M228&lt;0,IF(U227="",1,U227+1),0))</f>
        <v/>
      </c>
    </row>
    <row r="229">
      <c r="A229" s="6">
        <f>IF(B229="","",ROW()-1)</f>
        <v/>
      </c>
      <c r="B229" s="15" t="n"/>
      <c r="C229" s="15" t="n"/>
      <c r="D229" s="15" t="n"/>
      <c r="E229" s="15" t="n"/>
      <c r="F229" s="15" t="n"/>
      <c r="G229" s="16" t="n"/>
      <c r="H229" s="16" t="n"/>
      <c r="I229" s="16" t="n"/>
      <c r="J229" s="15" t="n"/>
      <c r="K229" s="16" t="n"/>
      <c r="L229" s="17">
        <f>IF(OR(G229="",H229=""),"",ABS(G229-H229))</f>
        <v/>
      </c>
      <c r="M229" s="18">
        <f>IF(OR(K229="",L229="",L229=0),"",IF(D229="Short",(G229-K229)/L229,(K229-G229)/L229))</f>
        <v/>
      </c>
      <c r="N229" s="18">
        <f>IF(M229="","",SUM($M$2:M229))</f>
        <v/>
      </c>
      <c r="O229" s="19" t="n"/>
      <c r="P229" s="15" t="n"/>
      <c r="Q229" s="15" t="n"/>
      <c r="R229" s="15" t="n"/>
      <c r="S229">
        <f>IF(N229="","",MAX(0,MAX($N$2:N229)))</f>
        <v/>
      </c>
      <c r="T229">
        <f>IF(N229="","",S229-N229)</f>
        <v/>
      </c>
      <c r="U229">
        <f>IF(M229="","",IF(M229&lt;0,IF(U228="",1,U228+1),0))</f>
        <v/>
      </c>
    </row>
    <row r="230">
      <c r="A230" s="6">
        <f>IF(B230="","",ROW()-1)</f>
        <v/>
      </c>
      <c r="B230" s="15" t="n"/>
      <c r="C230" s="15" t="n"/>
      <c r="D230" s="15" t="n"/>
      <c r="E230" s="15" t="n"/>
      <c r="F230" s="15" t="n"/>
      <c r="G230" s="16" t="n"/>
      <c r="H230" s="16" t="n"/>
      <c r="I230" s="16" t="n"/>
      <c r="J230" s="15" t="n"/>
      <c r="K230" s="16" t="n"/>
      <c r="L230" s="17">
        <f>IF(OR(G230="",H230=""),"",ABS(G230-H230))</f>
        <v/>
      </c>
      <c r="M230" s="18">
        <f>IF(OR(K230="",L230="",L230=0),"",IF(D230="Short",(G230-K230)/L230,(K230-G230)/L230))</f>
        <v/>
      </c>
      <c r="N230" s="18">
        <f>IF(M230="","",SUM($M$2:M230))</f>
        <v/>
      </c>
      <c r="O230" s="19" t="n"/>
      <c r="P230" s="15" t="n"/>
      <c r="Q230" s="15" t="n"/>
      <c r="R230" s="15" t="n"/>
      <c r="S230">
        <f>IF(N230="","",MAX(0,MAX($N$2:N230)))</f>
        <v/>
      </c>
      <c r="T230">
        <f>IF(N230="","",S230-N230)</f>
        <v/>
      </c>
      <c r="U230">
        <f>IF(M230="","",IF(M230&lt;0,IF(U229="",1,U229+1),0))</f>
        <v/>
      </c>
    </row>
    <row r="231">
      <c r="A231" s="6">
        <f>IF(B231="","",ROW()-1)</f>
        <v/>
      </c>
      <c r="B231" s="15" t="n"/>
      <c r="C231" s="15" t="n"/>
      <c r="D231" s="15" t="n"/>
      <c r="E231" s="15" t="n"/>
      <c r="F231" s="15" t="n"/>
      <c r="G231" s="16" t="n"/>
      <c r="H231" s="16" t="n"/>
      <c r="I231" s="16" t="n"/>
      <c r="J231" s="15" t="n"/>
      <c r="K231" s="16" t="n"/>
      <c r="L231" s="17">
        <f>IF(OR(G231="",H231=""),"",ABS(G231-H231))</f>
        <v/>
      </c>
      <c r="M231" s="18">
        <f>IF(OR(K231="",L231="",L231=0),"",IF(D231="Short",(G231-K231)/L231,(K231-G231)/L231))</f>
        <v/>
      </c>
      <c r="N231" s="18">
        <f>IF(M231="","",SUM($M$2:M231))</f>
        <v/>
      </c>
      <c r="O231" s="19" t="n"/>
      <c r="P231" s="15" t="n"/>
      <c r="Q231" s="15" t="n"/>
      <c r="R231" s="15" t="n"/>
      <c r="S231">
        <f>IF(N231="","",MAX(0,MAX($N$2:N231)))</f>
        <v/>
      </c>
      <c r="T231">
        <f>IF(N231="","",S231-N231)</f>
        <v/>
      </c>
      <c r="U231">
        <f>IF(M231="","",IF(M231&lt;0,IF(U230="",1,U230+1),0))</f>
        <v/>
      </c>
    </row>
    <row r="232">
      <c r="A232" s="6">
        <f>IF(B232="","",ROW()-1)</f>
        <v/>
      </c>
      <c r="B232" s="15" t="n"/>
      <c r="C232" s="15" t="n"/>
      <c r="D232" s="15" t="n"/>
      <c r="E232" s="15" t="n"/>
      <c r="F232" s="15" t="n"/>
      <c r="G232" s="16" t="n"/>
      <c r="H232" s="16" t="n"/>
      <c r="I232" s="16" t="n"/>
      <c r="J232" s="15" t="n"/>
      <c r="K232" s="16" t="n"/>
      <c r="L232" s="17">
        <f>IF(OR(G232="",H232=""),"",ABS(G232-H232))</f>
        <v/>
      </c>
      <c r="M232" s="18">
        <f>IF(OR(K232="",L232="",L232=0),"",IF(D232="Short",(G232-K232)/L232,(K232-G232)/L232))</f>
        <v/>
      </c>
      <c r="N232" s="18">
        <f>IF(M232="","",SUM($M$2:M232))</f>
        <v/>
      </c>
      <c r="O232" s="19" t="n"/>
      <c r="P232" s="15" t="n"/>
      <c r="Q232" s="15" t="n"/>
      <c r="R232" s="15" t="n"/>
      <c r="S232">
        <f>IF(N232="","",MAX(0,MAX($N$2:N232)))</f>
        <v/>
      </c>
      <c r="T232">
        <f>IF(N232="","",S232-N232)</f>
        <v/>
      </c>
      <c r="U232">
        <f>IF(M232="","",IF(M232&lt;0,IF(U231="",1,U231+1),0))</f>
        <v/>
      </c>
    </row>
    <row r="233">
      <c r="A233" s="6">
        <f>IF(B233="","",ROW()-1)</f>
        <v/>
      </c>
      <c r="B233" s="15" t="n"/>
      <c r="C233" s="15" t="n"/>
      <c r="D233" s="15" t="n"/>
      <c r="E233" s="15" t="n"/>
      <c r="F233" s="15" t="n"/>
      <c r="G233" s="16" t="n"/>
      <c r="H233" s="16" t="n"/>
      <c r="I233" s="16" t="n"/>
      <c r="J233" s="15" t="n"/>
      <c r="K233" s="16" t="n"/>
      <c r="L233" s="17">
        <f>IF(OR(G233="",H233=""),"",ABS(G233-H233))</f>
        <v/>
      </c>
      <c r="M233" s="18">
        <f>IF(OR(K233="",L233="",L233=0),"",IF(D233="Short",(G233-K233)/L233,(K233-G233)/L233))</f>
        <v/>
      </c>
      <c r="N233" s="18">
        <f>IF(M233="","",SUM($M$2:M233))</f>
        <v/>
      </c>
      <c r="O233" s="19" t="n"/>
      <c r="P233" s="15" t="n"/>
      <c r="Q233" s="15" t="n"/>
      <c r="R233" s="15" t="n"/>
      <c r="S233">
        <f>IF(N233="","",MAX(0,MAX($N$2:N233)))</f>
        <v/>
      </c>
      <c r="T233">
        <f>IF(N233="","",S233-N233)</f>
        <v/>
      </c>
      <c r="U233">
        <f>IF(M233="","",IF(M233&lt;0,IF(U232="",1,U232+1),0))</f>
        <v/>
      </c>
    </row>
    <row r="234">
      <c r="A234" s="6">
        <f>IF(B234="","",ROW()-1)</f>
        <v/>
      </c>
      <c r="B234" s="15" t="n"/>
      <c r="C234" s="15" t="n"/>
      <c r="D234" s="15" t="n"/>
      <c r="E234" s="15" t="n"/>
      <c r="F234" s="15" t="n"/>
      <c r="G234" s="16" t="n"/>
      <c r="H234" s="16" t="n"/>
      <c r="I234" s="16" t="n"/>
      <c r="J234" s="15" t="n"/>
      <c r="K234" s="16" t="n"/>
      <c r="L234" s="17">
        <f>IF(OR(G234="",H234=""),"",ABS(G234-H234))</f>
        <v/>
      </c>
      <c r="M234" s="18">
        <f>IF(OR(K234="",L234="",L234=0),"",IF(D234="Short",(G234-K234)/L234,(K234-G234)/L234))</f>
        <v/>
      </c>
      <c r="N234" s="18">
        <f>IF(M234="","",SUM($M$2:M234))</f>
        <v/>
      </c>
      <c r="O234" s="19" t="n"/>
      <c r="P234" s="15" t="n"/>
      <c r="Q234" s="15" t="n"/>
      <c r="R234" s="15" t="n"/>
      <c r="S234">
        <f>IF(N234="","",MAX(0,MAX($N$2:N234)))</f>
        <v/>
      </c>
      <c r="T234">
        <f>IF(N234="","",S234-N234)</f>
        <v/>
      </c>
      <c r="U234">
        <f>IF(M234="","",IF(M234&lt;0,IF(U233="",1,U233+1),0))</f>
        <v/>
      </c>
    </row>
    <row r="235">
      <c r="A235" s="6">
        <f>IF(B235="","",ROW()-1)</f>
        <v/>
      </c>
      <c r="B235" s="15" t="n"/>
      <c r="C235" s="15" t="n"/>
      <c r="D235" s="15" t="n"/>
      <c r="E235" s="15" t="n"/>
      <c r="F235" s="15" t="n"/>
      <c r="G235" s="16" t="n"/>
      <c r="H235" s="16" t="n"/>
      <c r="I235" s="16" t="n"/>
      <c r="J235" s="15" t="n"/>
      <c r="K235" s="16" t="n"/>
      <c r="L235" s="17">
        <f>IF(OR(G235="",H235=""),"",ABS(G235-H235))</f>
        <v/>
      </c>
      <c r="M235" s="18">
        <f>IF(OR(K235="",L235="",L235=0),"",IF(D235="Short",(G235-K235)/L235,(K235-G235)/L235))</f>
        <v/>
      </c>
      <c r="N235" s="18">
        <f>IF(M235="","",SUM($M$2:M235))</f>
        <v/>
      </c>
      <c r="O235" s="19" t="n"/>
      <c r="P235" s="15" t="n"/>
      <c r="Q235" s="15" t="n"/>
      <c r="R235" s="15" t="n"/>
      <c r="S235">
        <f>IF(N235="","",MAX(0,MAX($N$2:N235)))</f>
        <v/>
      </c>
      <c r="T235">
        <f>IF(N235="","",S235-N235)</f>
        <v/>
      </c>
      <c r="U235">
        <f>IF(M235="","",IF(M235&lt;0,IF(U234="",1,U234+1),0))</f>
        <v/>
      </c>
    </row>
    <row r="236">
      <c r="A236" s="6">
        <f>IF(B236="","",ROW()-1)</f>
        <v/>
      </c>
      <c r="B236" s="15" t="n"/>
      <c r="C236" s="15" t="n"/>
      <c r="D236" s="15" t="n"/>
      <c r="E236" s="15" t="n"/>
      <c r="F236" s="15" t="n"/>
      <c r="G236" s="16" t="n"/>
      <c r="H236" s="16" t="n"/>
      <c r="I236" s="16" t="n"/>
      <c r="J236" s="15" t="n"/>
      <c r="K236" s="16" t="n"/>
      <c r="L236" s="17">
        <f>IF(OR(G236="",H236=""),"",ABS(G236-H236))</f>
        <v/>
      </c>
      <c r="M236" s="18">
        <f>IF(OR(K236="",L236="",L236=0),"",IF(D236="Short",(G236-K236)/L236,(K236-G236)/L236))</f>
        <v/>
      </c>
      <c r="N236" s="18">
        <f>IF(M236="","",SUM($M$2:M236))</f>
        <v/>
      </c>
      <c r="O236" s="19" t="n"/>
      <c r="P236" s="15" t="n"/>
      <c r="Q236" s="15" t="n"/>
      <c r="R236" s="15" t="n"/>
      <c r="S236">
        <f>IF(N236="","",MAX(0,MAX($N$2:N236)))</f>
        <v/>
      </c>
      <c r="T236">
        <f>IF(N236="","",S236-N236)</f>
        <v/>
      </c>
      <c r="U236">
        <f>IF(M236="","",IF(M236&lt;0,IF(U235="",1,U235+1),0))</f>
        <v/>
      </c>
    </row>
    <row r="237">
      <c r="A237" s="6">
        <f>IF(B237="","",ROW()-1)</f>
        <v/>
      </c>
      <c r="B237" s="15" t="n"/>
      <c r="C237" s="15" t="n"/>
      <c r="D237" s="15" t="n"/>
      <c r="E237" s="15" t="n"/>
      <c r="F237" s="15" t="n"/>
      <c r="G237" s="16" t="n"/>
      <c r="H237" s="16" t="n"/>
      <c r="I237" s="16" t="n"/>
      <c r="J237" s="15" t="n"/>
      <c r="K237" s="16" t="n"/>
      <c r="L237" s="17">
        <f>IF(OR(G237="",H237=""),"",ABS(G237-H237))</f>
        <v/>
      </c>
      <c r="M237" s="18">
        <f>IF(OR(K237="",L237="",L237=0),"",IF(D237="Short",(G237-K237)/L237,(K237-G237)/L237))</f>
        <v/>
      </c>
      <c r="N237" s="18">
        <f>IF(M237="","",SUM($M$2:M237))</f>
        <v/>
      </c>
      <c r="O237" s="19" t="n"/>
      <c r="P237" s="15" t="n"/>
      <c r="Q237" s="15" t="n"/>
      <c r="R237" s="15" t="n"/>
      <c r="S237">
        <f>IF(N237="","",MAX(0,MAX($N$2:N237)))</f>
        <v/>
      </c>
      <c r="T237">
        <f>IF(N237="","",S237-N237)</f>
        <v/>
      </c>
      <c r="U237">
        <f>IF(M237="","",IF(M237&lt;0,IF(U236="",1,U236+1),0))</f>
        <v/>
      </c>
    </row>
    <row r="238">
      <c r="A238" s="6">
        <f>IF(B238="","",ROW()-1)</f>
        <v/>
      </c>
      <c r="B238" s="15" t="n"/>
      <c r="C238" s="15" t="n"/>
      <c r="D238" s="15" t="n"/>
      <c r="E238" s="15" t="n"/>
      <c r="F238" s="15" t="n"/>
      <c r="G238" s="16" t="n"/>
      <c r="H238" s="16" t="n"/>
      <c r="I238" s="16" t="n"/>
      <c r="J238" s="15" t="n"/>
      <c r="K238" s="16" t="n"/>
      <c r="L238" s="17">
        <f>IF(OR(G238="",H238=""),"",ABS(G238-H238))</f>
        <v/>
      </c>
      <c r="M238" s="18">
        <f>IF(OR(K238="",L238="",L238=0),"",IF(D238="Short",(G238-K238)/L238,(K238-G238)/L238))</f>
        <v/>
      </c>
      <c r="N238" s="18">
        <f>IF(M238="","",SUM($M$2:M238))</f>
        <v/>
      </c>
      <c r="O238" s="19" t="n"/>
      <c r="P238" s="15" t="n"/>
      <c r="Q238" s="15" t="n"/>
      <c r="R238" s="15" t="n"/>
      <c r="S238">
        <f>IF(N238="","",MAX(0,MAX($N$2:N238)))</f>
        <v/>
      </c>
      <c r="T238">
        <f>IF(N238="","",S238-N238)</f>
        <v/>
      </c>
      <c r="U238">
        <f>IF(M238="","",IF(M238&lt;0,IF(U237="",1,U237+1),0))</f>
        <v/>
      </c>
    </row>
    <row r="239">
      <c r="A239" s="6">
        <f>IF(B239="","",ROW()-1)</f>
        <v/>
      </c>
      <c r="B239" s="15" t="n"/>
      <c r="C239" s="15" t="n"/>
      <c r="D239" s="15" t="n"/>
      <c r="E239" s="15" t="n"/>
      <c r="F239" s="15" t="n"/>
      <c r="G239" s="16" t="n"/>
      <c r="H239" s="16" t="n"/>
      <c r="I239" s="16" t="n"/>
      <c r="J239" s="15" t="n"/>
      <c r="K239" s="16" t="n"/>
      <c r="L239" s="17">
        <f>IF(OR(G239="",H239=""),"",ABS(G239-H239))</f>
        <v/>
      </c>
      <c r="M239" s="18">
        <f>IF(OR(K239="",L239="",L239=0),"",IF(D239="Short",(G239-K239)/L239,(K239-G239)/L239))</f>
        <v/>
      </c>
      <c r="N239" s="18">
        <f>IF(M239="","",SUM($M$2:M239))</f>
        <v/>
      </c>
      <c r="O239" s="19" t="n"/>
      <c r="P239" s="15" t="n"/>
      <c r="Q239" s="15" t="n"/>
      <c r="R239" s="15" t="n"/>
      <c r="S239">
        <f>IF(N239="","",MAX(0,MAX($N$2:N239)))</f>
        <v/>
      </c>
      <c r="T239">
        <f>IF(N239="","",S239-N239)</f>
        <v/>
      </c>
      <c r="U239">
        <f>IF(M239="","",IF(M239&lt;0,IF(U238="",1,U238+1),0))</f>
        <v/>
      </c>
    </row>
    <row r="240">
      <c r="A240" s="6">
        <f>IF(B240="","",ROW()-1)</f>
        <v/>
      </c>
      <c r="B240" s="15" t="n"/>
      <c r="C240" s="15" t="n"/>
      <c r="D240" s="15" t="n"/>
      <c r="E240" s="15" t="n"/>
      <c r="F240" s="15" t="n"/>
      <c r="G240" s="16" t="n"/>
      <c r="H240" s="16" t="n"/>
      <c r="I240" s="16" t="n"/>
      <c r="J240" s="15" t="n"/>
      <c r="K240" s="16" t="n"/>
      <c r="L240" s="17">
        <f>IF(OR(G240="",H240=""),"",ABS(G240-H240))</f>
        <v/>
      </c>
      <c r="M240" s="18">
        <f>IF(OR(K240="",L240="",L240=0),"",IF(D240="Short",(G240-K240)/L240,(K240-G240)/L240))</f>
        <v/>
      </c>
      <c r="N240" s="18">
        <f>IF(M240="","",SUM($M$2:M240))</f>
        <v/>
      </c>
      <c r="O240" s="19" t="n"/>
      <c r="P240" s="15" t="n"/>
      <c r="Q240" s="15" t="n"/>
      <c r="R240" s="15" t="n"/>
      <c r="S240">
        <f>IF(N240="","",MAX(0,MAX($N$2:N240)))</f>
        <v/>
      </c>
      <c r="T240">
        <f>IF(N240="","",S240-N240)</f>
        <v/>
      </c>
      <c r="U240">
        <f>IF(M240="","",IF(M240&lt;0,IF(U239="",1,U239+1),0))</f>
        <v/>
      </c>
    </row>
    <row r="241">
      <c r="A241" s="6">
        <f>IF(B241="","",ROW()-1)</f>
        <v/>
      </c>
      <c r="B241" s="15" t="n"/>
      <c r="C241" s="15" t="n"/>
      <c r="D241" s="15" t="n"/>
      <c r="E241" s="15" t="n"/>
      <c r="F241" s="15" t="n"/>
      <c r="G241" s="16" t="n"/>
      <c r="H241" s="16" t="n"/>
      <c r="I241" s="16" t="n"/>
      <c r="J241" s="15" t="n"/>
      <c r="K241" s="16" t="n"/>
      <c r="L241" s="17">
        <f>IF(OR(G241="",H241=""),"",ABS(G241-H241))</f>
        <v/>
      </c>
      <c r="M241" s="18">
        <f>IF(OR(K241="",L241="",L241=0),"",IF(D241="Short",(G241-K241)/L241,(K241-G241)/L241))</f>
        <v/>
      </c>
      <c r="N241" s="18">
        <f>IF(M241="","",SUM($M$2:M241))</f>
        <v/>
      </c>
      <c r="O241" s="19" t="n"/>
      <c r="P241" s="15" t="n"/>
      <c r="Q241" s="15" t="n"/>
      <c r="R241" s="15" t="n"/>
      <c r="S241">
        <f>IF(N241="","",MAX(0,MAX($N$2:N241)))</f>
        <v/>
      </c>
      <c r="T241">
        <f>IF(N241="","",S241-N241)</f>
        <v/>
      </c>
      <c r="U241">
        <f>IF(M241="","",IF(M241&lt;0,IF(U240="",1,U240+1),0))</f>
        <v/>
      </c>
    </row>
    <row r="242">
      <c r="A242" s="6">
        <f>IF(B242="","",ROW()-1)</f>
        <v/>
      </c>
      <c r="B242" s="15" t="n"/>
      <c r="C242" s="15" t="n"/>
      <c r="D242" s="15" t="n"/>
      <c r="E242" s="15" t="n"/>
      <c r="F242" s="15" t="n"/>
      <c r="G242" s="16" t="n"/>
      <c r="H242" s="16" t="n"/>
      <c r="I242" s="16" t="n"/>
      <c r="J242" s="15" t="n"/>
      <c r="K242" s="16" t="n"/>
      <c r="L242" s="17">
        <f>IF(OR(G242="",H242=""),"",ABS(G242-H242))</f>
        <v/>
      </c>
      <c r="M242" s="18">
        <f>IF(OR(K242="",L242="",L242=0),"",IF(D242="Short",(G242-K242)/L242,(K242-G242)/L242))</f>
        <v/>
      </c>
      <c r="N242" s="18">
        <f>IF(M242="","",SUM($M$2:M242))</f>
        <v/>
      </c>
      <c r="O242" s="19" t="n"/>
      <c r="P242" s="15" t="n"/>
      <c r="Q242" s="15" t="n"/>
      <c r="R242" s="15" t="n"/>
      <c r="S242">
        <f>IF(N242="","",MAX(0,MAX($N$2:N242)))</f>
        <v/>
      </c>
      <c r="T242">
        <f>IF(N242="","",S242-N242)</f>
        <v/>
      </c>
      <c r="U242">
        <f>IF(M242="","",IF(M242&lt;0,IF(U241="",1,U241+1),0))</f>
        <v/>
      </c>
    </row>
    <row r="243">
      <c r="A243" s="6">
        <f>IF(B243="","",ROW()-1)</f>
        <v/>
      </c>
      <c r="B243" s="15" t="n"/>
      <c r="C243" s="15" t="n"/>
      <c r="D243" s="15" t="n"/>
      <c r="E243" s="15" t="n"/>
      <c r="F243" s="15" t="n"/>
      <c r="G243" s="16" t="n"/>
      <c r="H243" s="16" t="n"/>
      <c r="I243" s="16" t="n"/>
      <c r="J243" s="15" t="n"/>
      <c r="K243" s="16" t="n"/>
      <c r="L243" s="17">
        <f>IF(OR(G243="",H243=""),"",ABS(G243-H243))</f>
        <v/>
      </c>
      <c r="M243" s="18">
        <f>IF(OR(K243="",L243="",L243=0),"",IF(D243="Short",(G243-K243)/L243,(K243-G243)/L243))</f>
        <v/>
      </c>
      <c r="N243" s="18">
        <f>IF(M243="","",SUM($M$2:M243))</f>
        <v/>
      </c>
      <c r="O243" s="19" t="n"/>
      <c r="P243" s="15" t="n"/>
      <c r="Q243" s="15" t="n"/>
      <c r="R243" s="15" t="n"/>
      <c r="S243">
        <f>IF(N243="","",MAX(0,MAX($N$2:N243)))</f>
        <v/>
      </c>
      <c r="T243">
        <f>IF(N243="","",S243-N243)</f>
        <v/>
      </c>
      <c r="U243">
        <f>IF(M243="","",IF(M243&lt;0,IF(U242="",1,U242+1),0))</f>
        <v/>
      </c>
    </row>
    <row r="244">
      <c r="A244" s="6">
        <f>IF(B244="","",ROW()-1)</f>
        <v/>
      </c>
      <c r="B244" s="15" t="n"/>
      <c r="C244" s="15" t="n"/>
      <c r="D244" s="15" t="n"/>
      <c r="E244" s="15" t="n"/>
      <c r="F244" s="15" t="n"/>
      <c r="G244" s="16" t="n"/>
      <c r="H244" s="16" t="n"/>
      <c r="I244" s="16" t="n"/>
      <c r="J244" s="15" t="n"/>
      <c r="K244" s="16" t="n"/>
      <c r="L244" s="17">
        <f>IF(OR(G244="",H244=""),"",ABS(G244-H244))</f>
        <v/>
      </c>
      <c r="M244" s="18">
        <f>IF(OR(K244="",L244="",L244=0),"",IF(D244="Short",(G244-K244)/L244,(K244-G244)/L244))</f>
        <v/>
      </c>
      <c r="N244" s="18">
        <f>IF(M244="","",SUM($M$2:M244))</f>
        <v/>
      </c>
      <c r="O244" s="19" t="n"/>
      <c r="P244" s="15" t="n"/>
      <c r="Q244" s="15" t="n"/>
      <c r="R244" s="15" t="n"/>
      <c r="S244">
        <f>IF(N244="","",MAX(0,MAX($N$2:N244)))</f>
        <v/>
      </c>
      <c r="T244">
        <f>IF(N244="","",S244-N244)</f>
        <v/>
      </c>
      <c r="U244">
        <f>IF(M244="","",IF(M244&lt;0,IF(U243="",1,U243+1),0))</f>
        <v/>
      </c>
    </row>
    <row r="245">
      <c r="A245" s="6">
        <f>IF(B245="","",ROW()-1)</f>
        <v/>
      </c>
      <c r="B245" s="15" t="n"/>
      <c r="C245" s="15" t="n"/>
      <c r="D245" s="15" t="n"/>
      <c r="E245" s="15" t="n"/>
      <c r="F245" s="15" t="n"/>
      <c r="G245" s="16" t="n"/>
      <c r="H245" s="16" t="n"/>
      <c r="I245" s="16" t="n"/>
      <c r="J245" s="15" t="n"/>
      <c r="K245" s="16" t="n"/>
      <c r="L245" s="17">
        <f>IF(OR(G245="",H245=""),"",ABS(G245-H245))</f>
        <v/>
      </c>
      <c r="M245" s="18">
        <f>IF(OR(K245="",L245="",L245=0),"",IF(D245="Short",(G245-K245)/L245,(K245-G245)/L245))</f>
        <v/>
      </c>
      <c r="N245" s="18">
        <f>IF(M245="","",SUM($M$2:M245))</f>
        <v/>
      </c>
      <c r="O245" s="19" t="n"/>
      <c r="P245" s="15" t="n"/>
      <c r="Q245" s="15" t="n"/>
      <c r="R245" s="15" t="n"/>
      <c r="S245">
        <f>IF(N245="","",MAX(0,MAX($N$2:N245)))</f>
        <v/>
      </c>
      <c r="T245">
        <f>IF(N245="","",S245-N245)</f>
        <v/>
      </c>
      <c r="U245">
        <f>IF(M245="","",IF(M245&lt;0,IF(U244="",1,U244+1),0))</f>
        <v/>
      </c>
    </row>
    <row r="246">
      <c r="A246" s="6">
        <f>IF(B246="","",ROW()-1)</f>
        <v/>
      </c>
      <c r="B246" s="15" t="n"/>
      <c r="C246" s="15" t="n"/>
      <c r="D246" s="15" t="n"/>
      <c r="E246" s="15" t="n"/>
      <c r="F246" s="15" t="n"/>
      <c r="G246" s="16" t="n"/>
      <c r="H246" s="16" t="n"/>
      <c r="I246" s="16" t="n"/>
      <c r="J246" s="15" t="n"/>
      <c r="K246" s="16" t="n"/>
      <c r="L246" s="17">
        <f>IF(OR(G246="",H246=""),"",ABS(G246-H246))</f>
        <v/>
      </c>
      <c r="M246" s="18">
        <f>IF(OR(K246="",L246="",L246=0),"",IF(D246="Short",(G246-K246)/L246,(K246-G246)/L246))</f>
        <v/>
      </c>
      <c r="N246" s="18">
        <f>IF(M246="","",SUM($M$2:M246))</f>
        <v/>
      </c>
      <c r="O246" s="19" t="n"/>
      <c r="P246" s="15" t="n"/>
      <c r="Q246" s="15" t="n"/>
      <c r="R246" s="15" t="n"/>
      <c r="S246">
        <f>IF(N246="","",MAX(0,MAX($N$2:N246)))</f>
        <v/>
      </c>
      <c r="T246">
        <f>IF(N246="","",S246-N246)</f>
        <v/>
      </c>
      <c r="U246">
        <f>IF(M246="","",IF(M246&lt;0,IF(U245="",1,U245+1),0))</f>
        <v/>
      </c>
    </row>
    <row r="247">
      <c r="A247" s="6">
        <f>IF(B247="","",ROW()-1)</f>
        <v/>
      </c>
      <c r="B247" s="15" t="n"/>
      <c r="C247" s="15" t="n"/>
      <c r="D247" s="15" t="n"/>
      <c r="E247" s="15" t="n"/>
      <c r="F247" s="15" t="n"/>
      <c r="G247" s="16" t="n"/>
      <c r="H247" s="16" t="n"/>
      <c r="I247" s="16" t="n"/>
      <c r="J247" s="15" t="n"/>
      <c r="K247" s="16" t="n"/>
      <c r="L247" s="17">
        <f>IF(OR(G247="",H247=""),"",ABS(G247-H247))</f>
        <v/>
      </c>
      <c r="M247" s="18">
        <f>IF(OR(K247="",L247="",L247=0),"",IF(D247="Short",(G247-K247)/L247,(K247-G247)/L247))</f>
        <v/>
      </c>
      <c r="N247" s="18">
        <f>IF(M247="","",SUM($M$2:M247))</f>
        <v/>
      </c>
      <c r="O247" s="19" t="n"/>
      <c r="P247" s="15" t="n"/>
      <c r="Q247" s="15" t="n"/>
      <c r="R247" s="15" t="n"/>
      <c r="S247">
        <f>IF(N247="","",MAX(0,MAX($N$2:N247)))</f>
        <v/>
      </c>
      <c r="T247">
        <f>IF(N247="","",S247-N247)</f>
        <v/>
      </c>
      <c r="U247">
        <f>IF(M247="","",IF(M247&lt;0,IF(U246="",1,U246+1),0))</f>
        <v/>
      </c>
    </row>
    <row r="248">
      <c r="A248" s="6">
        <f>IF(B248="","",ROW()-1)</f>
        <v/>
      </c>
      <c r="B248" s="15" t="n"/>
      <c r="C248" s="15" t="n"/>
      <c r="D248" s="15" t="n"/>
      <c r="E248" s="15" t="n"/>
      <c r="F248" s="15" t="n"/>
      <c r="G248" s="16" t="n"/>
      <c r="H248" s="16" t="n"/>
      <c r="I248" s="16" t="n"/>
      <c r="J248" s="15" t="n"/>
      <c r="K248" s="16" t="n"/>
      <c r="L248" s="17">
        <f>IF(OR(G248="",H248=""),"",ABS(G248-H248))</f>
        <v/>
      </c>
      <c r="M248" s="18">
        <f>IF(OR(K248="",L248="",L248=0),"",IF(D248="Short",(G248-K248)/L248,(K248-G248)/L248))</f>
        <v/>
      </c>
      <c r="N248" s="18">
        <f>IF(M248="","",SUM($M$2:M248))</f>
        <v/>
      </c>
      <c r="O248" s="19" t="n"/>
      <c r="P248" s="15" t="n"/>
      <c r="Q248" s="15" t="n"/>
      <c r="R248" s="15" t="n"/>
      <c r="S248">
        <f>IF(N248="","",MAX(0,MAX($N$2:N248)))</f>
        <v/>
      </c>
      <c r="T248">
        <f>IF(N248="","",S248-N248)</f>
        <v/>
      </c>
      <c r="U248">
        <f>IF(M248="","",IF(M248&lt;0,IF(U247="",1,U247+1),0))</f>
        <v/>
      </c>
    </row>
    <row r="249">
      <c r="A249" s="6">
        <f>IF(B249="","",ROW()-1)</f>
        <v/>
      </c>
      <c r="B249" s="15" t="n"/>
      <c r="C249" s="15" t="n"/>
      <c r="D249" s="15" t="n"/>
      <c r="E249" s="15" t="n"/>
      <c r="F249" s="15" t="n"/>
      <c r="G249" s="16" t="n"/>
      <c r="H249" s="16" t="n"/>
      <c r="I249" s="16" t="n"/>
      <c r="J249" s="15" t="n"/>
      <c r="K249" s="16" t="n"/>
      <c r="L249" s="17">
        <f>IF(OR(G249="",H249=""),"",ABS(G249-H249))</f>
        <v/>
      </c>
      <c r="M249" s="18">
        <f>IF(OR(K249="",L249="",L249=0),"",IF(D249="Short",(G249-K249)/L249,(K249-G249)/L249))</f>
        <v/>
      </c>
      <c r="N249" s="18">
        <f>IF(M249="","",SUM($M$2:M249))</f>
        <v/>
      </c>
      <c r="O249" s="19" t="n"/>
      <c r="P249" s="15" t="n"/>
      <c r="Q249" s="15" t="n"/>
      <c r="R249" s="15" t="n"/>
      <c r="S249">
        <f>IF(N249="","",MAX(0,MAX($N$2:N249)))</f>
        <v/>
      </c>
      <c r="T249">
        <f>IF(N249="","",S249-N249)</f>
        <v/>
      </c>
      <c r="U249">
        <f>IF(M249="","",IF(M249&lt;0,IF(U248="",1,U248+1),0))</f>
        <v/>
      </c>
    </row>
    <row r="250">
      <c r="A250" s="6">
        <f>IF(B250="","",ROW()-1)</f>
        <v/>
      </c>
      <c r="B250" s="15" t="n"/>
      <c r="C250" s="15" t="n"/>
      <c r="D250" s="15" t="n"/>
      <c r="E250" s="15" t="n"/>
      <c r="F250" s="15" t="n"/>
      <c r="G250" s="16" t="n"/>
      <c r="H250" s="16" t="n"/>
      <c r="I250" s="16" t="n"/>
      <c r="J250" s="15" t="n"/>
      <c r="K250" s="16" t="n"/>
      <c r="L250" s="17">
        <f>IF(OR(G250="",H250=""),"",ABS(G250-H250))</f>
        <v/>
      </c>
      <c r="M250" s="18">
        <f>IF(OR(K250="",L250="",L250=0),"",IF(D250="Short",(G250-K250)/L250,(K250-G250)/L250))</f>
        <v/>
      </c>
      <c r="N250" s="18">
        <f>IF(M250="","",SUM($M$2:M250))</f>
        <v/>
      </c>
      <c r="O250" s="19" t="n"/>
      <c r="P250" s="15" t="n"/>
      <c r="Q250" s="15" t="n"/>
      <c r="R250" s="15" t="n"/>
      <c r="S250">
        <f>IF(N250="","",MAX(0,MAX($N$2:N250)))</f>
        <v/>
      </c>
      <c r="T250">
        <f>IF(N250="","",S250-N250)</f>
        <v/>
      </c>
      <c r="U250">
        <f>IF(M250="","",IF(M250&lt;0,IF(U249="",1,U249+1),0))</f>
        <v/>
      </c>
    </row>
    <row r="251">
      <c r="A251" s="6">
        <f>IF(B251="","",ROW()-1)</f>
        <v/>
      </c>
      <c r="B251" s="15" t="n"/>
      <c r="C251" s="15" t="n"/>
      <c r="D251" s="15" t="n"/>
      <c r="E251" s="15" t="n"/>
      <c r="F251" s="15" t="n"/>
      <c r="G251" s="16" t="n"/>
      <c r="H251" s="16" t="n"/>
      <c r="I251" s="16" t="n"/>
      <c r="J251" s="15" t="n"/>
      <c r="K251" s="16" t="n"/>
      <c r="L251" s="17">
        <f>IF(OR(G251="",H251=""),"",ABS(G251-H251))</f>
        <v/>
      </c>
      <c r="M251" s="18">
        <f>IF(OR(K251="",L251="",L251=0),"",IF(D251="Short",(G251-K251)/L251,(K251-G251)/L251))</f>
        <v/>
      </c>
      <c r="N251" s="18">
        <f>IF(M251="","",SUM($M$2:M251))</f>
        <v/>
      </c>
      <c r="O251" s="19" t="n"/>
      <c r="P251" s="15" t="n"/>
      <c r="Q251" s="15" t="n"/>
      <c r="R251" s="15" t="n"/>
      <c r="S251">
        <f>IF(N251="","",MAX(0,MAX($N$2:N251)))</f>
        <v/>
      </c>
      <c r="T251">
        <f>IF(N251="","",S251-N251)</f>
        <v/>
      </c>
      <c r="U251">
        <f>IF(M251="","",IF(M251&lt;0,IF(U250="",1,U250+1),0))</f>
        <v/>
      </c>
    </row>
    <row r="252">
      <c r="A252" s="6">
        <f>IF(B252="","",ROW()-1)</f>
        <v/>
      </c>
      <c r="B252" s="15" t="n"/>
      <c r="C252" s="15" t="n"/>
      <c r="D252" s="15" t="n"/>
      <c r="E252" s="15" t="n"/>
      <c r="F252" s="15" t="n"/>
      <c r="G252" s="16" t="n"/>
      <c r="H252" s="16" t="n"/>
      <c r="I252" s="16" t="n"/>
      <c r="J252" s="15" t="n"/>
      <c r="K252" s="16" t="n"/>
      <c r="L252" s="17">
        <f>IF(OR(G252="",H252=""),"",ABS(G252-H252))</f>
        <v/>
      </c>
      <c r="M252" s="18">
        <f>IF(OR(K252="",L252="",L252=0),"",IF(D252="Short",(G252-K252)/L252,(K252-G252)/L252))</f>
        <v/>
      </c>
      <c r="N252" s="18">
        <f>IF(M252="","",SUM($M$2:M252))</f>
        <v/>
      </c>
      <c r="O252" s="19" t="n"/>
      <c r="P252" s="15" t="n"/>
      <c r="Q252" s="15" t="n"/>
      <c r="R252" s="15" t="n"/>
      <c r="S252">
        <f>IF(N252="","",MAX(0,MAX($N$2:N252)))</f>
        <v/>
      </c>
      <c r="T252">
        <f>IF(N252="","",S252-N252)</f>
        <v/>
      </c>
      <c r="U252">
        <f>IF(M252="","",IF(M252&lt;0,IF(U251="",1,U251+1),0))</f>
        <v/>
      </c>
    </row>
    <row r="253">
      <c r="A253" s="6">
        <f>IF(B253="","",ROW()-1)</f>
        <v/>
      </c>
      <c r="B253" s="15" t="n"/>
      <c r="C253" s="15" t="n"/>
      <c r="D253" s="15" t="n"/>
      <c r="E253" s="15" t="n"/>
      <c r="F253" s="15" t="n"/>
      <c r="G253" s="16" t="n"/>
      <c r="H253" s="16" t="n"/>
      <c r="I253" s="16" t="n"/>
      <c r="J253" s="15" t="n"/>
      <c r="K253" s="16" t="n"/>
      <c r="L253" s="17">
        <f>IF(OR(G253="",H253=""),"",ABS(G253-H253))</f>
        <v/>
      </c>
      <c r="M253" s="18">
        <f>IF(OR(K253="",L253="",L253=0),"",IF(D253="Short",(G253-K253)/L253,(K253-G253)/L253))</f>
        <v/>
      </c>
      <c r="N253" s="18">
        <f>IF(M253="","",SUM($M$2:M253))</f>
        <v/>
      </c>
      <c r="O253" s="19" t="n"/>
      <c r="P253" s="15" t="n"/>
      <c r="Q253" s="15" t="n"/>
      <c r="R253" s="15" t="n"/>
      <c r="S253">
        <f>IF(N253="","",MAX(0,MAX($N$2:N253)))</f>
        <v/>
      </c>
      <c r="T253">
        <f>IF(N253="","",S253-N253)</f>
        <v/>
      </c>
      <c r="U253">
        <f>IF(M253="","",IF(M253&lt;0,IF(U252="",1,U252+1),0))</f>
        <v/>
      </c>
    </row>
    <row r="254">
      <c r="A254" s="6">
        <f>IF(B254="","",ROW()-1)</f>
        <v/>
      </c>
      <c r="B254" s="15" t="n"/>
      <c r="C254" s="15" t="n"/>
      <c r="D254" s="15" t="n"/>
      <c r="E254" s="15" t="n"/>
      <c r="F254" s="15" t="n"/>
      <c r="G254" s="16" t="n"/>
      <c r="H254" s="16" t="n"/>
      <c r="I254" s="16" t="n"/>
      <c r="J254" s="15" t="n"/>
      <c r="K254" s="16" t="n"/>
      <c r="L254" s="17">
        <f>IF(OR(G254="",H254=""),"",ABS(G254-H254))</f>
        <v/>
      </c>
      <c r="M254" s="18">
        <f>IF(OR(K254="",L254="",L254=0),"",IF(D254="Short",(G254-K254)/L254,(K254-G254)/L254))</f>
        <v/>
      </c>
      <c r="N254" s="18">
        <f>IF(M254="","",SUM($M$2:M254))</f>
        <v/>
      </c>
      <c r="O254" s="19" t="n"/>
      <c r="P254" s="15" t="n"/>
      <c r="Q254" s="15" t="n"/>
      <c r="R254" s="15" t="n"/>
      <c r="S254">
        <f>IF(N254="","",MAX(0,MAX($N$2:N254)))</f>
        <v/>
      </c>
      <c r="T254">
        <f>IF(N254="","",S254-N254)</f>
        <v/>
      </c>
      <c r="U254">
        <f>IF(M254="","",IF(M254&lt;0,IF(U253="",1,U253+1),0))</f>
        <v/>
      </c>
    </row>
    <row r="255">
      <c r="A255" s="6">
        <f>IF(B255="","",ROW()-1)</f>
        <v/>
      </c>
      <c r="B255" s="15" t="n"/>
      <c r="C255" s="15" t="n"/>
      <c r="D255" s="15" t="n"/>
      <c r="E255" s="15" t="n"/>
      <c r="F255" s="15" t="n"/>
      <c r="G255" s="16" t="n"/>
      <c r="H255" s="16" t="n"/>
      <c r="I255" s="16" t="n"/>
      <c r="J255" s="15" t="n"/>
      <c r="K255" s="16" t="n"/>
      <c r="L255" s="17">
        <f>IF(OR(G255="",H255=""),"",ABS(G255-H255))</f>
        <v/>
      </c>
      <c r="M255" s="18">
        <f>IF(OR(K255="",L255="",L255=0),"",IF(D255="Short",(G255-K255)/L255,(K255-G255)/L255))</f>
        <v/>
      </c>
      <c r="N255" s="18">
        <f>IF(M255="","",SUM($M$2:M255))</f>
        <v/>
      </c>
      <c r="O255" s="19" t="n"/>
      <c r="P255" s="15" t="n"/>
      <c r="Q255" s="15" t="n"/>
      <c r="R255" s="15" t="n"/>
      <c r="S255">
        <f>IF(N255="","",MAX(0,MAX($N$2:N255)))</f>
        <v/>
      </c>
      <c r="T255">
        <f>IF(N255="","",S255-N255)</f>
        <v/>
      </c>
      <c r="U255">
        <f>IF(M255="","",IF(M255&lt;0,IF(U254="",1,U254+1),0))</f>
        <v/>
      </c>
    </row>
    <row r="256">
      <c r="A256" s="6">
        <f>IF(B256="","",ROW()-1)</f>
        <v/>
      </c>
      <c r="B256" s="15" t="n"/>
      <c r="C256" s="15" t="n"/>
      <c r="D256" s="15" t="n"/>
      <c r="E256" s="15" t="n"/>
      <c r="F256" s="15" t="n"/>
      <c r="G256" s="16" t="n"/>
      <c r="H256" s="16" t="n"/>
      <c r="I256" s="16" t="n"/>
      <c r="J256" s="15" t="n"/>
      <c r="K256" s="16" t="n"/>
      <c r="L256" s="17">
        <f>IF(OR(G256="",H256=""),"",ABS(G256-H256))</f>
        <v/>
      </c>
      <c r="M256" s="18">
        <f>IF(OR(K256="",L256="",L256=0),"",IF(D256="Short",(G256-K256)/L256,(K256-G256)/L256))</f>
        <v/>
      </c>
      <c r="N256" s="18">
        <f>IF(M256="","",SUM($M$2:M256))</f>
        <v/>
      </c>
      <c r="O256" s="19" t="n"/>
      <c r="P256" s="15" t="n"/>
      <c r="Q256" s="15" t="n"/>
      <c r="R256" s="15" t="n"/>
      <c r="S256">
        <f>IF(N256="","",MAX(0,MAX($N$2:N256)))</f>
        <v/>
      </c>
      <c r="T256">
        <f>IF(N256="","",S256-N256)</f>
        <v/>
      </c>
      <c r="U256">
        <f>IF(M256="","",IF(M256&lt;0,IF(U255="",1,U255+1),0))</f>
        <v/>
      </c>
    </row>
    <row r="257">
      <c r="A257" s="6">
        <f>IF(B257="","",ROW()-1)</f>
        <v/>
      </c>
      <c r="B257" s="15" t="n"/>
      <c r="C257" s="15" t="n"/>
      <c r="D257" s="15" t="n"/>
      <c r="E257" s="15" t="n"/>
      <c r="F257" s="15" t="n"/>
      <c r="G257" s="16" t="n"/>
      <c r="H257" s="16" t="n"/>
      <c r="I257" s="16" t="n"/>
      <c r="J257" s="15" t="n"/>
      <c r="K257" s="16" t="n"/>
      <c r="L257" s="17">
        <f>IF(OR(G257="",H257=""),"",ABS(G257-H257))</f>
        <v/>
      </c>
      <c r="M257" s="18">
        <f>IF(OR(K257="",L257="",L257=0),"",IF(D257="Short",(G257-K257)/L257,(K257-G257)/L257))</f>
        <v/>
      </c>
      <c r="N257" s="18">
        <f>IF(M257="","",SUM($M$2:M257))</f>
        <v/>
      </c>
      <c r="O257" s="19" t="n"/>
      <c r="P257" s="15" t="n"/>
      <c r="Q257" s="15" t="n"/>
      <c r="R257" s="15" t="n"/>
      <c r="S257">
        <f>IF(N257="","",MAX(0,MAX($N$2:N257)))</f>
        <v/>
      </c>
      <c r="T257">
        <f>IF(N257="","",S257-N257)</f>
        <v/>
      </c>
      <c r="U257">
        <f>IF(M257="","",IF(M257&lt;0,IF(U256="",1,U256+1),0))</f>
        <v/>
      </c>
    </row>
    <row r="258">
      <c r="A258" s="6">
        <f>IF(B258="","",ROW()-1)</f>
        <v/>
      </c>
      <c r="B258" s="15" t="n"/>
      <c r="C258" s="15" t="n"/>
      <c r="D258" s="15" t="n"/>
      <c r="E258" s="15" t="n"/>
      <c r="F258" s="15" t="n"/>
      <c r="G258" s="16" t="n"/>
      <c r="H258" s="16" t="n"/>
      <c r="I258" s="16" t="n"/>
      <c r="J258" s="15" t="n"/>
      <c r="K258" s="16" t="n"/>
      <c r="L258" s="17">
        <f>IF(OR(G258="",H258=""),"",ABS(G258-H258))</f>
        <v/>
      </c>
      <c r="M258" s="18">
        <f>IF(OR(K258="",L258="",L258=0),"",IF(D258="Short",(G258-K258)/L258,(K258-G258)/L258))</f>
        <v/>
      </c>
      <c r="N258" s="18">
        <f>IF(M258="","",SUM($M$2:M258))</f>
        <v/>
      </c>
      <c r="O258" s="19" t="n"/>
      <c r="P258" s="15" t="n"/>
      <c r="Q258" s="15" t="n"/>
      <c r="R258" s="15" t="n"/>
      <c r="S258">
        <f>IF(N258="","",MAX(0,MAX($N$2:N258)))</f>
        <v/>
      </c>
      <c r="T258">
        <f>IF(N258="","",S258-N258)</f>
        <v/>
      </c>
      <c r="U258">
        <f>IF(M258="","",IF(M258&lt;0,IF(U257="",1,U257+1),0))</f>
        <v/>
      </c>
    </row>
    <row r="259">
      <c r="A259" s="6">
        <f>IF(B259="","",ROW()-1)</f>
        <v/>
      </c>
      <c r="B259" s="15" t="n"/>
      <c r="C259" s="15" t="n"/>
      <c r="D259" s="15" t="n"/>
      <c r="E259" s="15" t="n"/>
      <c r="F259" s="15" t="n"/>
      <c r="G259" s="16" t="n"/>
      <c r="H259" s="16" t="n"/>
      <c r="I259" s="16" t="n"/>
      <c r="J259" s="15" t="n"/>
      <c r="K259" s="16" t="n"/>
      <c r="L259" s="17">
        <f>IF(OR(G259="",H259=""),"",ABS(G259-H259))</f>
        <v/>
      </c>
      <c r="M259" s="18">
        <f>IF(OR(K259="",L259="",L259=0),"",IF(D259="Short",(G259-K259)/L259,(K259-G259)/L259))</f>
        <v/>
      </c>
      <c r="N259" s="18">
        <f>IF(M259="","",SUM($M$2:M259))</f>
        <v/>
      </c>
      <c r="O259" s="19" t="n"/>
      <c r="P259" s="15" t="n"/>
      <c r="Q259" s="15" t="n"/>
      <c r="R259" s="15" t="n"/>
      <c r="S259">
        <f>IF(N259="","",MAX(0,MAX($N$2:N259)))</f>
        <v/>
      </c>
      <c r="T259">
        <f>IF(N259="","",S259-N259)</f>
        <v/>
      </c>
      <c r="U259">
        <f>IF(M259="","",IF(M259&lt;0,IF(U258="",1,U258+1),0))</f>
        <v/>
      </c>
    </row>
    <row r="260">
      <c r="A260" s="6">
        <f>IF(B260="","",ROW()-1)</f>
        <v/>
      </c>
      <c r="B260" s="15" t="n"/>
      <c r="C260" s="15" t="n"/>
      <c r="D260" s="15" t="n"/>
      <c r="E260" s="15" t="n"/>
      <c r="F260" s="15" t="n"/>
      <c r="G260" s="16" t="n"/>
      <c r="H260" s="16" t="n"/>
      <c r="I260" s="16" t="n"/>
      <c r="J260" s="15" t="n"/>
      <c r="K260" s="16" t="n"/>
      <c r="L260" s="17">
        <f>IF(OR(G260="",H260=""),"",ABS(G260-H260))</f>
        <v/>
      </c>
      <c r="M260" s="18">
        <f>IF(OR(K260="",L260="",L260=0),"",IF(D260="Short",(G260-K260)/L260,(K260-G260)/L260))</f>
        <v/>
      </c>
      <c r="N260" s="18">
        <f>IF(M260="","",SUM($M$2:M260))</f>
        <v/>
      </c>
      <c r="O260" s="19" t="n"/>
      <c r="P260" s="15" t="n"/>
      <c r="Q260" s="15" t="n"/>
      <c r="R260" s="15" t="n"/>
      <c r="S260">
        <f>IF(N260="","",MAX(0,MAX($N$2:N260)))</f>
        <v/>
      </c>
      <c r="T260">
        <f>IF(N260="","",S260-N260)</f>
        <v/>
      </c>
      <c r="U260">
        <f>IF(M260="","",IF(M260&lt;0,IF(U259="",1,U259+1),0))</f>
        <v/>
      </c>
    </row>
    <row r="261">
      <c r="A261" s="6">
        <f>IF(B261="","",ROW()-1)</f>
        <v/>
      </c>
      <c r="B261" s="15" t="n"/>
      <c r="C261" s="15" t="n"/>
      <c r="D261" s="15" t="n"/>
      <c r="E261" s="15" t="n"/>
      <c r="F261" s="15" t="n"/>
      <c r="G261" s="16" t="n"/>
      <c r="H261" s="16" t="n"/>
      <c r="I261" s="16" t="n"/>
      <c r="J261" s="15" t="n"/>
      <c r="K261" s="16" t="n"/>
      <c r="L261" s="17">
        <f>IF(OR(G261="",H261=""),"",ABS(G261-H261))</f>
        <v/>
      </c>
      <c r="M261" s="18">
        <f>IF(OR(K261="",L261="",L261=0),"",IF(D261="Short",(G261-K261)/L261,(K261-G261)/L261))</f>
        <v/>
      </c>
      <c r="N261" s="18">
        <f>IF(M261="","",SUM($M$2:M261))</f>
        <v/>
      </c>
      <c r="O261" s="19" t="n"/>
      <c r="P261" s="15" t="n"/>
      <c r="Q261" s="15" t="n"/>
      <c r="R261" s="15" t="n"/>
      <c r="S261">
        <f>IF(N261="","",MAX(0,MAX($N$2:N261)))</f>
        <v/>
      </c>
      <c r="T261">
        <f>IF(N261="","",S261-N261)</f>
        <v/>
      </c>
      <c r="U261">
        <f>IF(M261="","",IF(M261&lt;0,IF(U260="",1,U260+1),0))</f>
        <v/>
      </c>
    </row>
    <row r="262">
      <c r="A262" s="6">
        <f>IF(B262="","",ROW()-1)</f>
        <v/>
      </c>
      <c r="B262" s="15" t="n"/>
      <c r="C262" s="15" t="n"/>
      <c r="D262" s="15" t="n"/>
      <c r="E262" s="15" t="n"/>
      <c r="F262" s="15" t="n"/>
      <c r="G262" s="16" t="n"/>
      <c r="H262" s="16" t="n"/>
      <c r="I262" s="16" t="n"/>
      <c r="J262" s="15" t="n"/>
      <c r="K262" s="16" t="n"/>
      <c r="L262" s="17">
        <f>IF(OR(G262="",H262=""),"",ABS(G262-H262))</f>
        <v/>
      </c>
      <c r="M262" s="18">
        <f>IF(OR(K262="",L262="",L262=0),"",IF(D262="Short",(G262-K262)/L262,(K262-G262)/L262))</f>
        <v/>
      </c>
      <c r="N262" s="18">
        <f>IF(M262="","",SUM($M$2:M262))</f>
        <v/>
      </c>
      <c r="O262" s="19" t="n"/>
      <c r="P262" s="15" t="n"/>
      <c r="Q262" s="15" t="n"/>
      <c r="R262" s="15" t="n"/>
      <c r="S262">
        <f>IF(N262="","",MAX(0,MAX($N$2:N262)))</f>
        <v/>
      </c>
      <c r="T262">
        <f>IF(N262="","",S262-N262)</f>
        <v/>
      </c>
      <c r="U262">
        <f>IF(M262="","",IF(M262&lt;0,IF(U261="",1,U261+1),0))</f>
        <v/>
      </c>
    </row>
    <row r="263">
      <c r="A263" s="6">
        <f>IF(B263="","",ROW()-1)</f>
        <v/>
      </c>
      <c r="B263" s="15" t="n"/>
      <c r="C263" s="15" t="n"/>
      <c r="D263" s="15" t="n"/>
      <c r="E263" s="15" t="n"/>
      <c r="F263" s="15" t="n"/>
      <c r="G263" s="16" t="n"/>
      <c r="H263" s="16" t="n"/>
      <c r="I263" s="16" t="n"/>
      <c r="J263" s="15" t="n"/>
      <c r="K263" s="16" t="n"/>
      <c r="L263" s="17">
        <f>IF(OR(G263="",H263=""),"",ABS(G263-H263))</f>
        <v/>
      </c>
      <c r="M263" s="18">
        <f>IF(OR(K263="",L263="",L263=0),"",IF(D263="Short",(G263-K263)/L263,(K263-G263)/L263))</f>
        <v/>
      </c>
      <c r="N263" s="18">
        <f>IF(M263="","",SUM($M$2:M263))</f>
        <v/>
      </c>
      <c r="O263" s="19" t="n"/>
      <c r="P263" s="15" t="n"/>
      <c r="Q263" s="15" t="n"/>
      <c r="R263" s="15" t="n"/>
      <c r="S263">
        <f>IF(N263="","",MAX(0,MAX($N$2:N263)))</f>
        <v/>
      </c>
      <c r="T263">
        <f>IF(N263="","",S263-N263)</f>
        <v/>
      </c>
      <c r="U263">
        <f>IF(M263="","",IF(M263&lt;0,IF(U262="",1,U262+1),0))</f>
        <v/>
      </c>
    </row>
    <row r="264">
      <c r="A264" s="6">
        <f>IF(B264="","",ROW()-1)</f>
        <v/>
      </c>
      <c r="B264" s="15" t="n"/>
      <c r="C264" s="15" t="n"/>
      <c r="D264" s="15" t="n"/>
      <c r="E264" s="15" t="n"/>
      <c r="F264" s="15" t="n"/>
      <c r="G264" s="16" t="n"/>
      <c r="H264" s="16" t="n"/>
      <c r="I264" s="16" t="n"/>
      <c r="J264" s="15" t="n"/>
      <c r="K264" s="16" t="n"/>
      <c r="L264" s="17">
        <f>IF(OR(G264="",H264=""),"",ABS(G264-H264))</f>
        <v/>
      </c>
      <c r="M264" s="18">
        <f>IF(OR(K264="",L264="",L264=0),"",IF(D264="Short",(G264-K264)/L264,(K264-G264)/L264))</f>
        <v/>
      </c>
      <c r="N264" s="18">
        <f>IF(M264="","",SUM($M$2:M264))</f>
        <v/>
      </c>
      <c r="O264" s="19" t="n"/>
      <c r="P264" s="15" t="n"/>
      <c r="Q264" s="15" t="n"/>
      <c r="R264" s="15" t="n"/>
      <c r="S264">
        <f>IF(N264="","",MAX(0,MAX($N$2:N264)))</f>
        <v/>
      </c>
      <c r="T264">
        <f>IF(N264="","",S264-N264)</f>
        <v/>
      </c>
      <c r="U264">
        <f>IF(M264="","",IF(M264&lt;0,IF(U263="",1,U263+1),0))</f>
        <v/>
      </c>
    </row>
    <row r="265">
      <c r="A265" s="6">
        <f>IF(B265="","",ROW()-1)</f>
        <v/>
      </c>
      <c r="B265" s="15" t="n"/>
      <c r="C265" s="15" t="n"/>
      <c r="D265" s="15" t="n"/>
      <c r="E265" s="15" t="n"/>
      <c r="F265" s="15" t="n"/>
      <c r="G265" s="16" t="n"/>
      <c r="H265" s="16" t="n"/>
      <c r="I265" s="16" t="n"/>
      <c r="J265" s="15" t="n"/>
      <c r="K265" s="16" t="n"/>
      <c r="L265" s="17">
        <f>IF(OR(G265="",H265=""),"",ABS(G265-H265))</f>
        <v/>
      </c>
      <c r="M265" s="18">
        <f>IF(OR(K265="",L265="",L265=0),"",IF(D265="Short",(G265-K265)/L265,(K265-G265)/L265))</f>
        <v/>
      </c>
      <c r="N265" s="18">
        <f>IF(M265="","",SUM($M$2:M265))</f>
        <v/>
      </c>
      <c r="O265" s="19" t="n"/>
      <c r="P265" s="15" t="n"/>
      <c r="Q265" s="15" t="n"/>
      <c r="R265" s="15" t="n"/>
      <c r="S265">
        <f>IF(N265="","",MAX(0,MAX($N$2:N265)))</f>
        <v/>
      </c>
      <c r="T265">
        <f>IF(N265="","",S265-N265)</f>
        <v/>
      </c>
      <c r="U265">
        <f>IF(M265="","",IF(M265&lt;0,IF(U264="",1,U264+1),0))</f>
        <v/>
      </c>
    </row>
    <row r="266">
      <c r="A266" s="6">
        <f>IF(B266="","",ROW()-1)</f>
        <v/>
      </c>
      <c r="B266" s="15" t="n"/>
      <c r="C266" s="15" t="n"/>
      <c r="D266" s="15" t="n"/>
      <c r="E266" s="15" t="n"/>
      <c r="F266" s="15" t="n"/>
      <c r="G266" s="16" t="n"/>
      <c r="H266" s="16" t="n"/>
      <c r="I266" s="16" t="n"/>
      <c r="J266" s="15" t="n"/>
      <c r="K266" s="16" t="n"/>
      <c r="L266" s="17">
        <f>IF(OR(G266="",H266=""),"",ABS(G266-H266))</f>
        <v/>
      </c>
      <c r="M266" s="18">
        <f>IF(OR(K266="",L266="",L266=0),"",IF(D266="Short",(G266-K266)/L266,(K266-G266)/L266))</f>
        <v/>
      </c>
      <c r="N266" s="18">
        <f>IF(M266="","",SUM($M$2:M266))</f>
        <v/>
      </c>
      <c r="O266" s="19" t="n"/>
      <c r="P266" s="15" t="n"/>
      <c r="Q266" s="15" t="n"/>
      <c r="R266" s="15" t="n"/>
      <c r="S266">
        <f>IF(N266="","",MAX(0,MAX($N$2:N266)))</f>
        <v/>
      </c>
      <c r="T266">
        <f>IF(N266="","",S266-N266)</f>
        <v/>
      </c>
      <c r="U266">
        <f>IF(M266="","",IF(M266&lt;0,IF(U265="",1,U265+1),0))</f>
        <v/>
      </c>
    </row>
    <row r="267">
      <c r="A267" s="6">
        <f>IF(B267="","",ROW()-1)</f>
        <v/>
      </c>
      <c r="B267" s="15" t="n"/>
      <c r="C267" s="15" t="n"/>
      <c r="D267" s="15" t="n"/>
      <c r="E267" s="15" t="n"/>
      <c r="F267" s="15" t="n"/>
      <c r="G267" s="16" t="n"/>
      <c r="H267" s="16" t="n"/>
      <c r="I267" s="16" t="n"/>
      <c r="J267" s="15" t="n"/>
      <c r="K267" s="16" t="n"/>
      <c r="L267" s="17">
        <f>IF(OR(G267="",H267=""),"",ABS(G267-H267))</f>
        <v/>
      </c>
      <c r="M267" s="18">
        <f>IF(OR(K267="",L267="",L267=0),"",IF(D267="Short",(G267-K267)/L267,(K267-G267)/L267))</f>
        <v/>
      </c>
      <c r="N267" s="18">
        <f>IF(M267="","",SUM($M$2:M267))</f>
        <v/>
      </c>
      <c r="O267" s="19" t="n"/>
      <c r="P267" s="15" t="n"/>
      <c r="Q267" s="15" t="n"/>
      <c r="R267" s="15" t="n"/>
      <c r="S267">
        <f>IF(N267="","",MAX(0,MAX($N$2:N267)))</f>
        <v/>
      </c>
      <c r="T267">
        <f>IF(N267="","",S267-N267)</f>
        <v/>
      </c>
      <c r="U267">
        <f>IF(M267="","",IF(M267&lt;0,IF(U266="",1,U266+1),0))</f>
        <v/>
      </c>
    </row>
    <row r="268">
      <c r="A268" s="6">
        <f>IF(B268="","",ROW()-1)</f>
        <v/>
      </c>
      <c r="B268" s="15" t="n"/>
      <c r="C268" s="15" t="n"/>
      <c r="D268" s="15" t="n"/>
      <c r="E268" s="15" t="n"/>
      <c r="F268" s="15" t="n"/>
      <c r="G268" s="16" t="n"/>
      <c r="H268" s="16" t="n"/>
      <c r="I268" s="16" t="n"/>
      <c r="J268" s="15" t="n"/>
      <c r="K268" s="16" t="n"/>
      <c r="L268" s="17">
        <f>IF(OR(G268="",H268=""),"",ABS(G268-H268))</f>
        <v/>
      </c>
      <c r="M268" s="18">
        <f>IF(OR(K268="",L268="",L268=0),"",IF(D268="Short",(G268-K268)/L268,(K268-G268)/L268))</f>
        <v/>
      </c>
      <c r="N268" s="18">
        <f>IF(M268="","",SUM($M$2:M268))</f>
        <v/>
      </c>
      <c r="O268" s="19" t="n"/>
      <c r="P268" s="15" t="n"/>
      <c r="Q268" s="15" t="n"/>
      <c r="R268" s="15" t="n"/>
      <c r="S268">
        <f>IF(N268="","",MAX(0,MAX($N$2:N268)))</f>
        <v/>
      </c>
      <c r="T268">
        <f>IF(N268="","",S268-N268)</f>
        <v/>
      </c>
      <c r="U268">
        <f>IF(M268="","",IF(M268&lt;0,IF(U267="",1,U267+1),0))</f>
        <v/>
      </c>
    </row>
    <row r="269">
      <c r="A269" s="6">
        <f>IF(B269="","",ROW()-1)</f>
        <v/>
      </c>
      <c r="B269" s="15" t="n"/>
      <c r="C269" s="15" t="n"/>
      <c r="D269" s="15" t="n"/>
      <c r="E269" s="15" t="n"/>
      <c r="F269" s="15" t="n"/>
      <c r="G269" s="16" t="n"/>
      <c r="H269" s="16" t="n"/>
      <c r="I269" s="16" t="n"/>
      <c r="J269" s="15" t="n"/>
      <c r="K269" s="16" t="n"/>
      <c r="L269" s="17">
        <f>IF(OR(G269="",H269=""),"",ABS(G269-H269))</f>
        <v/>
      </c>
      <c r="M269" s="18">
        <f>IF(OR(K269="",L269="",L269=0),"",IF(D269="Short",(G269-K269)/L269,(K269-G269)/L269))</f>
        <v/>
      </c>
      <c r="N269" s="18">
        <f>IF(M269="","",SUM($M$2:M269))</f>
        <v/>
      </c>
      <c r="O269" s="19" t="n"/>
      <c r="P269" s="15" t="n"/>
      <c r="Q269" s="15" t="n"/>
      <c r="R269" s="15" t="n"/>
      <c r="S269">
        <f>IF(N269="","",MAX(0,MAX($N$2:N269)))</f>
        <v/>
      </c>
      <c r="T269">
        <f>IF(N269="","",S269-N269)</f>
        <v/>
      </c>
      <c r="U269">
        <f>IF(M269="","",IF(M269&lt;0,IF(U268="",1,U268+1),0))</f>
        <v/>
      </c>
    </row>
    <row r="270">
      <c r="A270" s="6">
        <f>IF(B270="","",ROW()-1)</f>
        <v/>
      </c>
      <c r="B270" s="15" t="n"/>
      <c r="C270" s="15" t="n"/>
      <c r="D270" s="15" t="n"/>
      <c r="E270" s="15" t="n"/>
      <c r="F270" s="15" t="n"/>
      <c r="G270" s="16" t="n"/>
      <c r="H270" s="16" t="n"/>
      <c r="I270" s="16" t="n"/>
      <c r="J270" s="15" t="n"/>
      <c r="K270" s="16" t="n"/>
      <c r="L270" s="17">
        <f>IF(OR(G270="",H270=""),"",ABS(G270-H270))</f>
        <v/>
      </c>
      <c r="M270" s="18">
        <f>IF(OR(K270="",L270="",L270=0),"",IF(D270="Short",(G270-K270)/L270,(K270-G270)/L270))</f>
        <v/>
      </c>
      <c r="N270" s="18">
        <f>IF(M270="","",SUM($M$2:M270))</f>
        <v/>
      </c>
      <c r="O270" s="19" t="n"/>
      <c r="P270" s="15" t="n"/>
      <c r="Q270" s="15" t="n"/>
      <c r="R270" s="15" t="n"/>
      <c r="S270">
        <f>IF(N270="","",MAX(0,MAX($N$2:N270)))</f>
        <v/>
      </c>
      <c r="T270">
        <f>IF(N270="","",S270-N270)</f>
        <v/>
      </c>
      <c r="U270">
        <f>IF(M270="","",IF(M270&lt;0,IF(U269="",1,U269+1),0))</f>
        <v/>
      </c>
    </row>
    <row r="271">
      <c r="A271" s="6">
        <f>IF(B271="","",ROW()-1)</f>
        <v/>
      </c>
      <c r="B271" s="15" t="n"/>
      <c r="C271" s="15" t="n"/>
      <c r="D271" s="15" t="n"/>
      <c r="E271" s="15" t="n"/>
      <c r="F271" s="15" t="n"/>
      <c r="G271" s="16" t="n"/>
      <c r="H271" s="16" t="n"/>
      <c r="I271" s="16" t="n"/>
      <c r="J271" s="15" t="n"/>
      <c r="K271" s="16" t="n"/>
      <c r="L271" s="17">
        <f>IF(OR(G271="",H271=""),"",ABS(G271-H271))</f>
        <v/>
      </c>
      <c r="M271" s="18">
        <f>IF(OR(K271="",L271="",L271=0),"",IF(D271="Short",(G271-K271)/L271,(K271-G271)/L271))</f>
        <v/>
      </c>
      <c r="N271" s="18">
        <f>IF(M271="","",SUM($M$2:M271))</f>
        <v/>
      </c>
      <c r="O271" s="19" t="n"/>
      <c r="P271" s="15" t="n"/>
      <c r="Q271" s="15" t="n"/>
      <c r="R271" s="15" t="n"/>
      <c r="S271">
        <f>IF(N271="","",MAX(0,MAX($N$2:N271)))</f>
        <v/>
      </c>
      <c r="T271">
        <f>IF(N271="","",S271-N271)</f>
        <v/>
      </c>
      <c r="U271">
        <f>IF(M271="","",IF(M271&lt;0,IF(U270="",1,U270+1),0))</f>
        <v/>
      </c>
    </row>
    <row r="272">
      <c r="A272" s="6">
        <f>IF(B272="","",ROW()-1)</f>
        <v/>
      </c>
      <c r="B272" s="15" t="n"/>
      <c r="C272" s="15" t="n"/>
      <c r="D272" s="15" t="n"/>
      <c r="E272" s="15" t="n"/>
      <c r="F272" s="15" t="n"/>
      <c r="G272" s="16" t="n"/>
      <c r="H272" s="16" t="n"/>
      <c r="I272" s="16" t="n"/>
      <c r="J272" s="15" t="n"/>
      <c r="K272" s="16" t="n"/>
      <c r="L272" s="17">
        <f>IF(OR(G272="",H272=""),"",ABS(G272-H272))</f>
        <v/>
      </c>
      <c r="M272" s="18">
        <f>IF(OR(K272="",L272="",L272=0),"",IF(D272="Short",(G272-K272)/L272,(K272-G272)/L272))</f>
        <v/>
      </c>
      <c r="N272" s="18">
        <f>IF(M272="","",SUM($M$2:M272))</f>
        <v/>
      </c>
      <c r="O272" s="19" t="n"/>
      <c r="P272" s="15" t="n"/>
      <c r="Q272" s="15" t="n"/>
      <c r="R272" s="15" t="n"/>
      <c r="S272">
        <f>IF(N272="","",MAX(0,MAX($N$2:N272)))</f>
        <v/>
      </c>
      <c r="T272">
        <f>IF(N272="","",S272-N272)</f>
        <v/>
      </c>
      <c r="U272">
        <f>IF(M272="","",IF(M272&lt;0,IF(U271="",1,U271+1),0))</f>
        <v/>
      </c>
    </row>
    <row r="273">
      <c r="A273" s="6">
        <f>IF(B273="","",ROW()-1)</f>
        <v/>
      </c>
      <c r="B273" s="15" t="n"/>
      <c r="C273" s="15" t="n"/>
      <c r="D273" s="15" t="n"/>
      <c r="E273" s="15" t="n"/>
      <c r="F273" s="15" t="n"/>
      <c r="G273" s="16" t="n"/>
      <c r="H273" s="16" t="n"/>
      <c r="I273" s="16" t="n"/>
      <c r="J273" s="15" t="n"/>
      <c r="K273" s="16" t="n"/>
      <c r="L273" s="17">
        <f>IF(OR(G273="",H273=""),"",ABS(G273-H273))</f>
        <v/>
      </c>
      <c r="M273" s="18">
        <f>IF(OR(K273="",L273="",L273=0),"",IF(D273="Short",(G273-K273)/L273,(K273-G273)/L273))</f>
        <v/>
      </c>
      <c r="N273" s="18">
        <f>IF(M273="","",SUM($M$2:M273))</f>
        <v/>
      </c>
      <c r="O273" s="19" t="n"/>
      <c r="P273" s="15" t="n"/>
      <c r="Q273" s="15" t="n"/>
      <c r="R273" s="15" t="n"/>
      <c r="S273">
        <f>IF(N273="","",MAX(0,MAX($N$2:N273)))</f>
        <v/>
      </c>
      <c r="T273">
        <f>IF(N273="","",S273-N273)</f>
        <v/>
      </c>
      <c r="U273">
        <f>IF(M273="","",IF(M273&lt;0,IF(U272="",1,U272+1),0))</f>
        <v/>
      </c>
    </row>
    <row r="274">
      <c r="A274" s="6">
        <f>IF(B274="","",ROW()-1)</f>
        <v/>
      </c>
      <c r="B274" s="15" t="n"/>
      <c r="C274" s="15" t="n"/>
      <c r="D274" s="15" t="n"/>
      <c r="E274" s="15" t="n"/>
      <c r="F274" s="15" t="n"/>
      <c r="G274" s="16" t="n"/>
      <c r="H274" s="16" t="n"/>
      <c r="I274" s="16" t="n"/>
      <c r="J274" s="15" t="n"/>
      <c r="K274" s="16" t="n"/>
      <c r="L274" s="17">
        <f>IF(OR(G274="",H274=""),"",ABS(G274-H274))</f>
        <v/>
      </c>
      <c r="M274" s="18">
        <f>IF(OR(K274="",L274="",L274=0),"",IF(D274="Short",(G274-K274)/L274,(K274-G274)/L274))</f>
        <v/>
      </c>
      <c r="N274" s="18">
        <f>IF(M274="","",SUM($M$2:M274))</f>
        <v/>
      </c>
      <c r="O274" s="19" t="n"/>
      <c r="P274" s="15" t="n"/>
      <c r="Q274" s="15" t="n"/>
      <c r="R274" s="15" t="n"/>
      <c r="S274">
        <f>IF(N274="","",MAX(0,MAX($N$2:N274)))</f>
        <v/>
      </c>
      <c r="T274">
        <f>IF(N274="","",S274-N274)</f>
        <v/>
      </c>
      <c r="U274">
        <f>IF(M274="","",IF(M274&lt;0,IF(U273="",1,U273+1),0))</f>
        <v/>
      </c>
    </row>
    <row r="275">
      <c r="A275" s="6">
        <f>IF(B275="","",ROW()-1)</f>
        <v/>
      </c>
      <c r="B275" s="15" t="n"/>
      <c r="C275" s="15" t="n"/>
      <c r="D275" s="15" t="n"/>
      <c r="E275" s="15" t="n"/>
      <c r="F275" s="15" t="n"/>
      <c r="G275" s="16" t="n"/>
      <c r="H275" s="16" t="n"/>
      <c r="I275" s="16" t="n"/>
      <c r="J275" s="15" t="n"/>
      <c r="K275" s="16" t="n"/>
      <c r="L275" s="17">
        <f>IF(OR(G275="",H275=""),"",ABS(G275-H275))</f>
        <v/>
      </c>
      <c r="M275" s="18">
        <f>IF(OR(K275="",L275="",L275=0),"",IF(D275="Short",(G275-K275)/L275,(K275-G275)/L275))</f>
        <v/>
      </c>
      <c r="N275" s="18">
        <f>IF(M275="","",SUM($M$2:M275))</f>
        <v/>
      </c>
      <c r="O275" s="19" t="n"/>
      <c r="P275" s="15" t="n"/>
      <c r="Q275" s="15" t="n"/>
      <c r="R275" s="15" t="n"/>
      <c r="S275">
        <f>IF(N275="","",MAX(0,MAX($N$2:N275)))</f>
        <v/>
      </c>
      <c r="T275">
        <f>IF(N275="","",S275-N275)</f>
        <v/>
      </c>
      <c r="U275">
        <f>IF(M275="","",IF(M275&lt;0,IF(U274="",1,U274+1),0))</f>
        <v/>
      </c>
    </row>
    <row r="276">
      <c r="A276" s="6">
        <f>IF(B276="","",ROW()-1)</f>
        <v/>
      </c>
      <c r="B276" s="15" t="n"/>
      <c r="C276" s="15" t="n"/>
      <c r="D276" s="15" t="n"/>
      <c r="E276" s="15" t="n"/>
      <c r="F276" s="15" t="n"/>
      <c r="G276" s="16" t="n"/>
      <c r="H276" s="16" t="n"/>
      <c r="I276" s="16" t="n"/>
      <c r="J276" s="15" t="n"/>
      <c r="K276" s="16" t="n"/>
      <c r="L276" s="17">
        <f>IF(OR(G276="",H276=""),"",ABS(G276-H276))</f>
        <v/>
      </c>
      <c r="M276" s="18">
        <f>IF(OR(K276="",L276="",L276=0),"",IF(D276="Short",(G276-K276)/L276,(K276-G276)/L276))</f>
        <v/>
      </c>
      <c r="N276" s="18">
        <f>IF(M276="","",SUM($M$2:M276))</f>
        <v/>
      </c>
      <c r="O276" s="19" t="n"/>
      <c r="P276" s="15" t="n"/>
      <c r="Q276" s="15" t="n"/>
      <c r="R276" s="15" t="n"/>
      <c r="S276">
        <f>IF(N276="","",MAX(0,MAX($N$2:N276)))</f>
        <v/>
      </c>
      <c r="T276">
        <f>IF(N276="","",S276-N276)</f>
        <v/>
      </c>
      <c r="U276">
        <f>IF(M276="","",IF(M276&lt;0,IF(U275="",1,U275+1),0))</f>
        <v/>
      </c>
    </row>
    <row r="277">
      <c r="A277" s="6">
        <f>IF(B277="","",ROW()-1)</f>
        <v/>
      </c>
      <c r="B277" s="15" t="n"/>
      <c r="C277" s="15" t="n"/>
      <c r="D277" s="15" t="n"/>
      <c r="E277" s="15" t="n"/>
      <c r="F277" s="15" t="n"/>
      <c r="G277" s="16" t="n"/>
      <c r="H277" s="16" t="n"/>
      <c r="I277" s="16" t="n"/>
      <c r="J277" s="15" t="n"/>
      <c r="K277" s="16" t="n"/>
      <c r="L277" s="17">
        <f>IF(OR(G277="",H277=""),"",ABS(G277-H277))</f>
        <v/>
      </c>
      <c r="M277" s="18">
        <f>IF(OR(K277="",L277="",L277=0),"",IF(D277="Short",(G277-K277)/L277,(K277-G277)/L277))</f>
        <v/>
      </c>
      <c r="N277" s="18">
        <f>IF(M277="","",SUM($M$2:M277))</f>
        <v/>
      </c>
      <c r="O277" s="19" t="n"/>
      <c r="P277" s="15" t="n"/>
      <c r="Q277" s="15" t="n"/>
      <c r="R277" s="15" t="n"/>
      <c r="S277">
        <f>IF(N277="","",MAX(0,MAX($N$2:N277)))</f>
        <v/>
      </c>
      <c r="T277">
        <f>IF(N277="","",S277-N277)</f>
        <v/>
      </c>
      <c r="U277">
        <f>IF(M277="","",IF(M277&lt;0,IF(U276="",1,U276+1),0))</f>
        <v/>
      </c>
    </row>
    <row r="278">
      <c r="A278" s="6">
        <f>IF(B278="","",ROW()-1)</f>
        <v/>
      </c>
      <c r="B278" s="15" t="n"/>
      <c r="C278" s="15" t="n"/>
      <c r="D278" s="15" t="n"/>
      <c r="E278" s="15" t="n"/>
      <c r="F278" s="15" t="n"/>
      <c r="G278" s="16" t="n"/>
      <c r="H278" s="16" t="n"/>
      <c r="I278" s="16" t="n"/>
      <c r="J278" s="15" t="n"/>
      <c r="K278" s="16" t="n"/>
      <c r="L278" s="17">
        <f>IF(OR(G278="",H278=""),"",ABS(G278-H278))</f>
        <v/>
      </c>
      <c r="M278" s="18">
        <f>IF(OR(K278="",L278="",L278=0),"",IF(D278="Short",(G278-K278)/L278,(K278-G278)/L278))</f>
        <v/>
      </c>
      <c r="N278" s="18">
        <f>IF(M278="","",SUM($M$2:M278))</f>
        <v/>
      </c>
      <c r="O278" s="19" t="n"/>
      <c r="P278" s="15" t="n"/>
      <c r="Q278" s="15" t="n"/>
      <c r="R278" s="15" t="n"/>
      <c r="S278">
        <f>IF(N278="","",MAX(0,MAX($N$2:N278)))</f>
        <v/>
      </c>
      <c r="T278">
        <f>IF(N278="","",S278-N278)</f>
        <v/>
      </c>
      <c r="U278">
        <f>IF(M278="","",IF(M278&lt;0,IF(U277="",1,U277+1),0))</f>
        <v/>
      </c>
    </row>
    <row r="279">
      <c r="A279" s="6">
        <f>IF(B279="","",ROW()-1)</f>
        <v/>
      </c>
      <c r="B279" s="15" t="n"/>
      <c r="C279" s="15" t="n"/>
      <c r="D279" s="15" t="n"/>
      <c r="E279" s="15" t="n"/>
      <c r="F279" s="15" t="n"/>
      <c r="G279" s="16" t="n"/>
      <c r="H279" s="16" t="n"/>
      <c r="I279" s="16" t="n"/>
      <c r="J279" s="15" t="n"/>
      <c r="K279" s="16" t="n"/>
      <c r="L279" s="17">
        <f>IF(OR(G279="",H279=""),"",ABS(G279-H279))</f>
        <v/>
      </c>
      <c r="M279" s="18">
        <f>IF(OR(K279="",L279="",L279=0),"",IF(D279="Short",(G279-K279)/L279,(K279-G279)/L279))</f>
        <v/>
      </c>
      <c r="N279" s="18">
        <f>IF(M279="","",SUM($M$2:M279))</f>
        <v/>
      </c>
      <c r="O279" s="19" t="n"/>
      <c r="P279" s="15" t="n"/>
      <c r="Q279" s="15" t="n"/>
      <c r="R279" s="15" t="n"/>
      <c r="S279">
        <f>IF(N279="","",MAX(0,MAX($N$2:N279)))</f>
        <v/>
      </c>
      <c r="T279">
        <f>IF(N279="","",S279-N279)</f>
        <v/>
      </c>
      <c r="U279">
        <f>IF(M279="","",IF(M279&lt;0,IF(U278="",1,U278+1),0))</f>
        <v/>
      </c>
    </row>
    <row r="280">
      <c r="A280" s="6">
        <f>IF(B280="","",ROW()-1)</f>
        <v/>
      </c>
      <c r="B280" s="15" t="n"/>
      <c r="C280" s="15" t="n"/>
      <c r="D280" s="15" t="n"/>
      <c r="E280" s="15" t="n"/>
      <c r="F280" s="15" t="n"/>
      <c r="G280" s="16" t="n"/>
      <c r="H280" s="16" t="n"/>
      <c r="I280" s="16" t="n"/>
      <c r="J280" s="15" t="n"/>
      <c r="K280" s="16" t="n"/>
      <c r="L280" s="17">
        <f>IF(OR(G280="",H280=""),"",ABS(G280-H280))</f>
        <v/>
      </c>
      <c r="M280" s="18">
        <f>IF(OR(K280="",L280="",L280=0),"",IF(D280="Short",(G280-K280)/L280,(K280-G280)/L280))</f>
        <v/>
      </c>
      <c r="N280" s="18">
        <f>IF(M280="","",SUM($M$2:M280))</f>
        <v/>
      </c>
      <c r="O280" s="19" t="n"/>
      <c r="P280" s="15" t="n"/>
      <c r="Q280" s="15" t="n"/>
      <c r="R280" s="15" t="n"/>
      <c r="S280">
        <f>IF(N280="","",MAX(0,MAX($N$2:N280)))</f>
        <v/>
      </c>
      <c r="T280">
        <f>IF(N280="","",S280-N280)</f>
        <v/>
      </c>
      <c r="U280">
        <f>IF(M280="","",IF(M280&lt;0,IF(U279="",1,U279+1),0))</f>
        <v/>
      </c>
    </row>
    <row r="281">
      <c r="A281" s="6">
        <f>IF(B281="","",ROW()-1)</f>
        <v/>
      </c>
      <c r="B281" s="15" t="n"/>
      <c r="C281" s="15" t="n"/>
      <c r="D281" s="15" t="n"/>
      <c r="E281" s="15" t="n"/>
      <c r="F281" s="15" t="n"/>
      <c r="G281" s="16" t="n"/>
      <c r="H281" s="16" t="n"/>
      <c r="I281" s="16" t="n"/>
      <c r="J281" s="15" t="n"/>
      <c r="K281" s="16" t="n"/>
      <c r="L281" s="17">
        <f>IF(OR(G281="",H281=""),"",ABS(G281-H281))</f>
        <v/>
      </c>
      <c r="M281" s="18">
        <f>IF(OR(K281="",L281="",L281=0),"",IF(D281="Short",(G281-K281)/L281,(K281-G281)/L281))</f>
        <v/>
      </c>
      <c r="N281" s="18">
        <f>IF(M281="","",SUM($M$2:M281))</f>
        <v/>
      </c>
      <c r="O281" s="19" t="n"/>
      <c r="P281" s="15" t="n"/>
      <c r="Q281" s="15" t="n"/>
      <c r="R281" s="15" t="n"/>
      <c r="S281">
        <f>IF(N281="","",MAX(0,MAX($N$2:N281)))</f>
        <v/>
      </c>
      <c r="T281">
        <f>IF(N281="","",S281-N281)</f>
        <v/>
      </c>
      <c r="U281">
        <f>IF(M281="","",IF(M281&lt;0,IF(U280="",1,U280+1),0))</f>
        <v/>
      </c>
    </row>
    <row r="282">
      <c r="A282" s="6">
        <f>IF(B282="","",ROW()-1)</f>
        <v/>
      </c>
      <c r="B282" s="15" t="n"/>
      <c r="C282" s="15" t="n"/>
      <c r="D282" s="15" t="n"/>
      <c r="E282" s="15" t="n"/>
      <c r="F282" s="15" t="n"/>
      <c r="G282" s="16" t="n"/>
      <c r="H282" s="16" t="n"/>
      <c r="I282" s="16" t="n"/>
      <c r="J282" s="15" t="n"/>
      <c r="K282" s="16" t="n"/>
      <c r="L282" s="17">
        <f>IF(OR(G282="",H282=""),"",ABS(G282-H282))</f>
        <v/>
      </c>
      <c r="M282" s="18">
        <f>IF(OR(K282="",L282="",L282=0),"",IF(D282="Short",(G282-K282)/L282,(K282-G282)/L282))</f>
        <v/>
      </c>
      <c r="N282" s="18">
        <f>IF(M282="","",SUM($M$2:M282))</f>
        <v/>
      </c>
      <c r="O282" s="19" t="n"/>
      <c r="P282" s="15" t="n"/>
      <c r="Q282" s="15" t="n"/>
      <c r="R282" s="15" t="n"/>
      <c r="S282">
        <f>IF(N282="","",MAX(0,MAX($N$2:N282)))</f>
        <v/>
      </c>
      <c r="T282">
        <f>IF(N282="","",S282-N282)</f>
        <v/>
      </c>
      <c r="U282">
        <f>IF(M282="","",IF(M282&lt;0,IF(U281="",1,U281+1),0))</f>
        <v/>
      </c>
    </row>
    <row r="283">
      <c r="A283" s="6">
        <f>IF(B283="","",ROW()-1)</f>
        <v/>
      </c>
      <c r="B283" s="15" t="n"/>
      <c r="C283" s="15" t="n"/>
      <c r="D283" s="15" t="n"/>
      <c r="E283" s="15" t="n"/>
      <c r="F283" s="15" t="n"/>
      <c r="G283" s="16" t="n"/>
      <c r="H283" s="16" t="n"/>
      <c r="I283" s="16" t="n"/>
      <c r="J283" s="15" t="n"/>
      <c r="K283" s="16" t="n"/>
      <c r="L283" s="17">
        <f>IF(OR(G283="",H283=""),"",ABS(G283-H283))</f>
        <v/>
      </c>
      <c r="M283" s="18">
        <f>IF(OR(K283="",L283="",L283=0),"",IF(D283="Short",(G283-K283)/L283,(K283-G283)/L283))</f>
        <v/>
      </c>
      <c r="N283" s="18">
        <f>IF(M283="","",SUM($M$2:M283))</f>
        <v/>
      </c>
      <c r="O283" s="19" t="n"/>
      <c r="P283" s="15" t="n"/>
      <c r="Q283" s="15" t="n"/>
      <c r="R283" s="15" t="n"/>
      <c r="S283">
        <f>IF(N283="","",MAX(0,MAX($N$2:N283)))</f>
        <v/>
      </c>
      <c r="T283">
        <f>IF(N283="","",S283-N283)</f>
        <v/>
      </c>
      <c r="U283">
        <f>IF(M283="","",IF(M283&lt;0,IF(U282="",1,U282+1),0))</f>
        <v/>
      </c>
    </row>
    <row r="284">
      <c r="A284" s="6">
        <f>IF(B284="","",ROW()-1)</f>
        <v/>
      </c>
      <c r="B284" s="15" t="n"/>
      <c r="C284" s="15" t="n"/>
      <c r="D284" s="15" t="n"/>
      <c r="E284" s="15" t="n"/>
      <c r="F284" s="15" t="n"/>
      <c r="G284" s="16" t="n"/>
      <c r="H284" s="16" t="n"/>
      <c r="I284" s="16" t="n"/>
      <c r="J284" s="15" t="n"/>
      <c r="K284" s="16" t="n"/>
      <c r="L284" s="17">
        <f>IF(OR(G284="",H284=""),"",ABS(G284-H284))</f>
        <v/>
      </c>
      <c r="M284" s="18">
        <f>IF(OR(K284="",L284="",L284=0),"",IF(D284="Short",(G284-K284)/L284,(K284-G284)/L284))</f>
        <v/>
      </c>
      <c r="N284" s="18">
        <f>IF(M284="","",SUM($M$2:M284))</f>
        <v/>
      </c>
      <c r="O284" s="19" t="n"/>
      <c r="P284" s="15" t="n"/>
      <c r="Q284" s="15" t="n"/>
      <c r="R284" s="15" t="n"/>
      <c r="S284">
        <f>IF(N284="","",MAX(0,MAX($N$2:N284)))</f>
        <v/>
      </c>
      <c r="T284">
        <f>IF(N284="","",S284-N284)</f>
        <v/>
      </c>
      <c r="U284">
        <f>IF(M284="","",IF(M284&lt;0,IF(U283="",1,U283+1),0))</f>
        <v/>
      </c>
    </row>
    <row r="285">
      <c r="A285" s="6">
        <f>IF(B285="","",ROW()-1)</f>
        <v/>
      </c>
      <c r="B285" s="15" t="n"/>
      <c r="C285" s="15" t="n"/>
      <c r="D285" s="15" t="n"/>
      <c r="E285" s="15" t="n"/>
      <c r="F285" s="15" t="n"/>
      <c r="G285" s="16" t="n"/>
      <c r="H285" s="16" t="n"/>
      <c r="I285" s="16" t="n"/>
      <c r="J285" s="15" t="n"/>
      <c r="K285" s="16" t="n"/>
      <c r="L285" s="17">
        <f>IF(OR(G285="",H285=""),"",ABS(G285-H285))</f>
        <v/>
      </c>
      <c r="M285" s="18">
        <f>IF(OR(K285="",L285="",L285=0),"",IF(D285="Short",(G285-K285)/L285,(K285-G285)/L285))</f>
        <v/>
      </c>
      <c r="N285" s="18">
        <f>IF(M285="","",SUM($M$2:M285))</f>
        <v/>
      </c>
      <c r="O285" s="19" t="n"/>
      <c r="P285" s="15" t="n"/>
      <c r="Q285" s="15" t="n"/>
      <c r="R285" s="15" t="n"/>
      <c r="S285">
        <f>IF(N285="","",MAX(0,MAX($N$2:N285)))</f>
        <v/>
      </c>
      <c r="T285">
        <f>IF(N285="","",S285-N285)</f>
        <v/>
      </c>
      <c r="U285">
        <f>IF(M285="","",IF(M285&lt;0,IF(U284="",1,U284+1),0))</f>
        <v/>
      </c>
    </row>
    <row r="286">
      <c r="A286" s="6">
        <f>IF(B286="","",ROW()-1)</f>
        <v/>
      </c>
      <c r="B286" s="15" t="n"/>
      <c r="C286" s="15" t="n"/>
      <c r="D286" s="15" t="n"/>
      <c r="E286" s="15" t="n"/>
      <c r="F286" s="15" t="n"/>
      <c r="G286" s="16" t="n"/>
      <c r="H286" s="16" t="n"/>
      <c r="I286" s="16" t="n"/>
      <c r="J286" s="15" t="n"/>
      <c r="K286" s="16" t="n"/>
      <c r="L286" s="17">
        <f>IF(OR(G286="",H286=""),"",ABS(G286-H286))</f>
        <v/>
      </c>
      <c r="M286" s="18">
        <f>IF(OR(K286="",L286="",L286=0),"",IF(D286="Short",(G286-K286)/L286,(K286-G286)/L286))</f>
        <v/>
      </c>
      <c r="N286" s="18">
        <f>IF(M286="","",SUM($M$2:M286))</f>
        <v/>
      </c>
      <c r="O286" s="19" t="n"/>
      <c r="P286" s="15" t="n"/>
      <c r="Q286" s="15" t="n"/>
      <c r="R286" s="15" t="n"/>
      <c r="S286">
        <f>IF(N286="","",MAX(0,MAX($N$2:N286)))</f>
        <v/>
      </c>
      <c r="T286">
        <f>IF(N286="","",S286-N286)</f>
        <v/>
      </c>
      <c r="U286">
        <f>IF(M286="","",IF(M286&lt;0,IF(U285="",1,U285+1),0))</f>
        <v/>
      </c>
    </row>
    <row r="287">
      <c r="A287" s="6">
        <f>IF(B287="","",ROW()-1)</f>
        <v/>
      </c>
      <c r="B287" s="15" t="n"/>
      <c r="C287" s="15" t="n"/>
      <c r="D287" s="15" t="n"/>
      <c r="E287" s="15" t="n"/>
      <c r="F287" s="15" t="n"/>
      <c r="G287" s="16" t="n"/>
      <c r="H287" s="16" t="n"/>
      <c r="I287" s="16" t="n"/>
      <c r="J287" s="15" t="n"/>
      <c r="K287" s="16" t="n"/>
      <c r="L287" s="17">
        <f>IF(OR(G287="",H287=""),"",ABS(G287-H287))</f>
        <v/>
      </c>
      <c r="M287" s="18">
        <f>IF(OR(K287="",L287="",L287=0),"",IF(D287="Short",(G287-K287)/L287,(K287-G287)/L287))</f>
        <v/>
      </c>
      <c r="N287" s="18">
        <f>IF(M287="","",SUM($M$2:M287))</f>
        <v/>
      </c>
      <c r="O287" s="19" t="n"/>
      <c r="P287" s="15" t="n"/>
      <c r="Q287" s="15" t="n"/>
      <c r="R287" s="15" t="n"/>
      <c r="S287">
        <f>IF(N287="","",MAX(0,MAX($N$2:N287)))</f>
        <v/>
      </c>
      <c r="T287">
        <f>IF(N287="","",S287-N287)</f>
        <v/>
      </c>
      <c r="U287">
        <f>IF(M287="","",IF(M287&lt;0,IF(U286="",1,U286+1),0))</f>
        <v/>
      </c>
    </row>
    <row r="288">
      <c r="A288" s="6">
        <f>IF(B288="","",ROW()-1)</f>
        <v/>
      </c>
      <c r="B288" s="15" t="n"/>
      <c r="C288" s="15" t="n"/>
      <c r="D288" s="15" t="n"/>
      <c r="E288" s="15" t="n"/>
      <c r="F288" s="15" t="n"/>
      <c r="G288" s="16" t="n"/>
      <c r="H288" s="16" t="n"/>
      <c r="I288" s="16" t="n"/>
      <c r="J288" s="15" t="n"/>
      <c r="K288" s="16" t="n"/>
      <c r="L288" s="17">
        <f>IF(OR(G288="",H288=""),"",ABS(G288-H288))</f>
        <v/>
      </c>
      <c r="M288" s="18">
        <f>IF(OR(K288="",L288="",L288=0),"",IF(D288="Short",(G288-K288)/L288,(K288-G288)/L288))</f>
        <v/>
      </c>
      <c r="N288" s="18">
        <f>IF(M288="","",SUM($M$2:M288))</f>
        <v/>
      </c>
      <c r="O288" s="19" t="n"/>
      <c r="P288" s="15" t="n"/>
      <c r="Q288" s="15" t="n"/>
      <c r="R288" s="15" t="n"/>
      <c r="S288">
        <f>IF(N288="","",MAX(0,MAX($N$2:N288)))</f>
        <v/>
      </c>
      <c r="T288">
        <f>IF(N288="","",S288-N288)</f>
        <v/>
      </c>
      <c r="U288">
        <f>IF(M288="","",IF(M288&lt;0,IF(U287="",1,U287+1),0))</f>
        <v/>
      </c>
    </row>
    <row r="289">
      <c r="A289" s="6">
        <f>IF(B289="","",ROW()-1)</f>
        <v/>
      </c>
      <c r="B289" s="15" t="n"/>
      <c r="C289" s="15" t="n"/>
      <c r="D289" s="15" t="n"/>
      <c r="E289" s="15" t="n"/>
      <c r="F289" s="15" t="n"/>
      <c r="G289" s="16" t="n"/>
      <c r="H289" s="16" t="n"/>
      <c r="I289" s="16" t="n"/>
      <c r="J289" s="15" t="n"/>
      <c r="K289" s="16" t="n"/>
      <c r="L289" s="17">
        <f>IF(OR(G289="",H289=""),"",ABS(G289-H289))</f>
        <v/>
      </c>
      <c r="M289" s="18">
        <f>IF(OR(K289="",L289="",L289=0),"",IF(D289="Short",(G289-K289)/L289,(K289-G289)/L289))</f>
        <v/>
      </c>
      <c r="N289" s="18">
        <f>IF(M289="","",SUM($M$2:M289))</f>
        <v/>
      </c>
      <c r="O289" s="19" t="n"/>
      <c r="P289" s="15" t="n"/>
      <c r="Q289" s="15" t="n"/>
      <c r="R289" s="15" t="n"/>
      <c r="S289">
        <f>IF(N289="","",MAX(0,MAX($N$2:N289)))</f>
        <v/>
      </c>
      <c r="T289">
        <f>IF(N289="","",S289-N289)</f>
        <v/>
      </c>
      <c r="U289">
        <f>IF(M289="","",IF(M289&lt;0,IF(U288="",1,U288+1),0))</f>
        <v/>
      </c>
    </row>
    <row r="290">
      <c r="A290" s="6">
        <f>IF(B290="","",ROW()-1)</f>
        <v/>
      </c>
      <c r="B290" s="15" t="n"/>
      <c r="C290" s="15" t="n"/>
      <c r="D290" s="15" t="n"/>
      <c r="E290" s="15" t="n"/>
      <c r="F290" s="15" t="n"/>
      <c r="G290" s="16" t="n"/>
      <c r="H290" s="16" t="n"/>
      <c r="I290" s="16" t="n"/>
      <c r="J290" s="15" t="n"/>
      <c r="K290" s="16" t="n"/>
      <c r="L290" s="17">
        <f>IF(OR(G290="",H290=""),"",ABS(G290-H290))</f>
        <v/>
      </c>
      <c r="M290" s="18">
        <f>IF(OR(K290="",L290="",L290=0),"",IF(D290="Short",(G290-K290)/L290,(K290-G290)/L290))</f>
        <v/>
      </c>
      <c r="N290" s="18">
        <f>IF(M290="","",SUM($M$2:M290))</f>
        <v/>
      </c>
      <c r="O290" s="19" t="n"/>
      <c r="P290" s="15" t="n"/>
      <c r="Q290" s="15" t="n"/>
      <c r="R290" s="15" t="n"/>
      <c r="S290">
        <f>IF(N290="","",MAX(0,MAX($N$2:N290)))</f>
        <v/>
      </c>
      <c r="T290">
        <f>IF(N290="","",S290-N290)</f>
        <v/>
      </c>
      <c r="U290">
        <f>IF(M290="","",IF(M290&lt;0,IF(U289="",1,U289+1),0))</f>
        <v/>
      </c>
    </row>
    <row r="291">
      <c r="A291" s="6">
        <f>IF(B291="","",ROW()-1)</f>
        <v/>
      </c>
      <c r="B291" s="15" t="n"/>
      <c r="C291" s="15" t="n"/>
      <c r="D291" s="15" t="n"/>
      <c r="E291" s="15" t="n"/>
      <c r="F291" s="15" t="n"/>
      <c r="G291" s="16" t="n"/>
      <c r="H291" s="16" t="n"/>
      <c r="I291" s="16" t="n"/>
      <c r="J291" s="15" t="n"/>
      <c r="K291" s="16" t="n"/>
      <c r="L291" s="17">
        <f>IF(OR(G291="",H291=""),"",ABS(G291-H291))</f>
        <v/>
      </c>
      <c r="M291" s="18">
        <f>IF(OR(K291="",L291="",L291=0),"",IF(D291="Short",(G291-K291)/L291,(K291-G291)/L291))</f>
        <v/>
      </c>
      <c r="N291" s="18">
        <f>IF(M291="","",SUM($M$2:M291))</f>
        <v/>
      </c>
      <c r="O291" s="19" t="n"/>
      <c r="P291" s="15" t="n"/>
      <c r="Q291" s="15" t="n"/>
      <c r="R291" s="15" t="n"/>
      <c r="S291">
        <f>IF(N291="","",MAX(0,MAX($N$2:N291)))</f>
        <v/>
      </c>
      <c r="T291">
        <f>IF(N291="","",S291-N291)</f>
        <v/>
      </c>
      <c r="U291">
        <f>IF(M291="","",IF(M291&lt;0,IF(U290="",1,U290+1),0))</f>
        <v/>
      </c>
    </row>
    <row r="292">
      <c r="A292" s="6">
        <f>IF(B292="","",ROW()-1)</f>
        <v/>
      </c>
      <c r="B292" s="15" t="n"/>
      <c r="C292" s="15" t="n"/>
      <c r="D292" s="15" t="n"/>
      <c r="E292" s="15" t="n"/>
      <c r="F292" s="15" t="n"/>
      <c r="G292" s="16" t="n"/>
      <c r="H292" s="16" t="n"/>
      <c r="I292" s="16" t="n"/>
      <c r="J292" s="15" t="n"/>
      <c r="K292" s="16" t="n"/>
      <c r="L292" s="17">
        <f>IF(OR(G292="",H292=""),"",ABS(G292-H292))</f>
        <v/>
      </c>
      <c r="M292" s="18">
        <f>IF(OR(K292="",L292="",L292=0),"",IF(D292="Short",(G292-K292)/L292,(K292-G292)/L292))</f>
        <v/>
      </c>
      <c r="N292" s="18">
        <f>IF(M292="","",SUM($M$2:M292))</f>
        <v/>
      </c>
      <c r="O292" s="19" t="n"/>
      <c r="P292" s="15" t="n"/>
      <c r="Q292" s="15" t="n"/>
      <c r="R292" s="15" t="n"/>
      <c r="S292">
        <f>IF(N292="","",MAX(0,MAX($N$2:N292)))</f>
        <v/>
      </c>
      <c r="T292">
        <f>IF(N292="","",S292-N292)</f>
        <v/>
      </c>
      <c r="U292">
        <f>IF(M292="","",IF(M292&lt;0,IF(U291="",1,U291+1),0))</f>
        <v/>
      </c>
    </row>
    <row r="293">
      <c r="A293" s="6">
        <f>IF(B293="","",ROW()-1)</f>
        <v/>
      </c>
      <c r="B293" s="15" t="n"/>
      <c r="C293" s="15" t="n"/>
      <c r="D293" s="15" t="n"/>
      <c r="E293" s="15" t="n"/>
      <c r="F293" s="15" t="n"/>
      <c r="G293" s="16" t="n"/>
      <c r="H293" s="16" t="n"/>
      <c r="I293" s="16" t="n"/>
      <c r="J293" s="15" t="n"/>
      <c r="K293" s="16" t="n"/>
      <c r="L293" s="17">
        <f>IF(OR(G293="",H293=""),"",ABS(G293-H293))</f>
        <v/>
      </c>
      <c r="M293" s="18">
        <f>IF(OR(K293="",L293="",L293=0),"",IF(D293="Short",(G293-K293)/L293,(K293-G293)/L293))</f>
        <v/>
      </c>
      <c r="N293" s="18">
        <f>IF(M293="","",SUM($M$2:M293))</f>
        <v/>
      </c>
      <c r="O293" s="19" t="n"/>
      <c r="P293" s="15" t="n"/>
      <c r="Q293" s="15" t="n"/>
      <c r="R293" s="15" t="n"/>
      <c r="S293">
        <f>IF(N293="","",MAX(0,MAX($N$2:N293)))</f>
        <v/>
      </c>
      <c r="T293">
        <f>IF(N293="","",S293-N293)</f>
        <v/>
      </c>
      <c r="U293">
        <f>IF(M293="","",IF(M293&lt;0,IF(U292="",1,U292+1),0))</f>
        <v/>
      </c>
    </row>
    <row r="294">
      <c r="A294" s="6">
        <f>IF(B294="","",ROW()-1)</f>
        <v/>
      </c>
      <c r="B294" s="15" t="n"/>
      <c r="C294" s="15" t="n"/>
      <c r="D294" s="15" t="n"/>
      <c r="E294" s="15" t="n"/>
      <c r="F294" s="15" t="n"/>
      <c r="G294" s="16" t="n"/>
      <c r="H294" s="16" t="n"/>
      <c r="I294" s="16" t="n"/>
      <c r="J294" s="15" t="n"/>
      <c r="K294" s="16" t="n"/>
      <c r="L294" s="17">
        <f>IF(OR(G294="",H294=""),"",ABS(G294-H294))</f>
        <v/>
      </c>
      <c r="M294" s="18">
        <f>IF(OR(K294="",L294="",L294=0),"",IF(D294="Short",(G294-K294)/L294,(K294-G294)/L294))</f>
        <v/>
      </c>
      <c r="N294" s="18">
        <f>IF(M294="","",SUM($M$2:M294))</f>
        <v/>
      </c>
      <c r="O294" s="19" t="n"/>
      <c r="P294" s="15" t="n"/>
      <c r="Q294" s="15" t="n"/>
      <c r="R294" s="15" t="n"/>
      <c r="S294">
        <f>IF(N294="","",MAX(0,MAX($N$2:N294)))</f>
        <v/>
      </c>
      <c r="T294">
        <f>IF(N294="","",S294-N294)</f>
        <v/>
      </c>
      <c r="U294">
        <f>IF(M294="","",IF(M294&lt;0,IF(U293="",1,U293+1),0))</f>
        <v/>
      </c>
    </row>
    <row r="295">
      <c r="A295" s="6">
        <f>IF(B295="","",ROW()-1)</f>
        <v/>
      </c>
      <c r="B295" s="15" t="n"/>
      <c r="C295" s="15" t="n"/>
      <c r="D295" s="15" t="n"/>
      <c r="E295" s="15" t="n"/>
      <c r="F295" s="15" t="n"/>
      <c r="G295" s="16" t="n"/>
      <c r="H295" s="16" t="n"/>
      <c r="I295" s="16" t="n"/>
      <c r="J295" s="15" t="n"/>
      <c r="K295" s="16" t="n"/>
      <c r="L295" s="17">
        <f>IF(OR(G295="",H295=""),"",ABS(G295-H295))</f>
        <v/>
      </c>
      <c r="M295" s="18">
        <f>IF(OR(K295="",L295="",L295=0),"",IF(D295="Short",(G295-K295)/L295,(K295-G295)/L295))</f>
        <v/>
      </c>
      <c r="N295" s="18">
        <f>IF(M295="","",SUM($M$2:M295))</f>
        <v/>
      </c>
      <c r="O295" s="19" t="n"/>
      <c r="P295" s="15" t="n"/>
      <c r="Q295" s="15" t="n"/>
      <c r="R295" s="15" t="n"/>
      <c r="S295">
        <f>IF(N295="","",MAX(0,MAX($N$2:N295)))</f>
        <v/>
      </c>
      <c r="T295">
        <f>IF(N295="","",S295-N295)</f>
        <v/>
      </c>
      <c r="U295">
        <f>IF(M295="","",IF(M295&lt;0,IF(U294="",1,U294+1),0))</f>
        <v/>
      </c>
    </row>
    <row r="296">
      <c r="A296" s="6">
        <f>IF(B296="","",ROW()-1)</f>
        <v/>
      </c>
      <c r="B296" s="15" t="n"/>
      <c r="C296" s="15" t="n"/>
      <c r="D296" s="15" t="n"/>
      <c r="E296" s="15" t="n"/>
      <c r="F296" s="15" t="n"/>
      <c r="G296" s="16" t="n"/>
      <c r="H296" s="16" t="n"/>
      <c r="I296" s="16" t="n"/>
      <c r="J296" s="15" t="n"/>
      <c r="K296" s="16" t="n"/>
      <c r="L296" s="17">
        <f>IF(OR(G296="",H296=""),"",ABS(G296-H296))</f>
        <v/>
      </c>
      <c r="M296" s="18">
        <f>IF(OR(K296="",L296="",L296=0),"",IF(D296="Short",(G296-K296)/L296,(K296-G296)/L296))</f>
        <v/>
      </c>
      <c r="N296" s="18">
        <f>IF(M296="","",SUM($M$2:M296))</f>
        <v/>
      </c>
      <c r="O296" s="19" t="n"/>
      <c r="P296" s="15" t="n"/>
      <c r="Q296" s="15" t="n"/>
      <c r="R296" s="15" t="n"/>
      <c r="S296">
        <f>IF(N296="","",MAX(0,MAX($N$2:N296)))</f>
        <v/>
      </c>
      <c r="T296">
        <f>IF(N296="","",S296-N296)</f>
        <v/>
      </c>
      <c r="U296">
        <f>IF(M296="","",IF(M296&lt;0,IF(U295="",1,U295+1),0))</f>
        <v/>
      </c>
    </row>
    <row r="297">
      <c r="A297" s="6">
        <f>IF(B297="","",ROW()-1)</f>
        <v/>
      </c>
      <c r="B297" s="15" t="n"/>
      <c r="C297" s="15" t="n"/>
      <c r="D297" s="15" t="n"/>
      <c r="E297" s="15" t="n"/>
      <c r="F297" s="15" t="n"/>
      <c r="G297" s="16" t="n"/>
      <c r="H297" s="16" t="n"/>
      <c r="I297" s="16" t="n"/>
      <c r="J297" s="15" t="n"/>
      <c r="K297" s="16" t="n"/>
      <c r="L297" s="17">
        <f>IF(OR(G297="",H297=""),"",ABS(G297-H297))</f>
        <v/>
      </c>
      <c r="M297" s="18">
        <f>IF(OR(K297="",L297="",L297=0),"",IF(D297="Short",(G297-K297)/L297,(K297-G297)/L297))</f>
        <v/>
      </c>
      <c r="N297" s="18">
        <f>IF(M297="","",SUM($M$2:M297))</f>
        <v/>
      </c>
      <c r="O297" s="19" t="n"/>
      <c r="P297" s="15" t="n"/>
      <c r="Q297" s="15" t="n"/>
      <c r="R297" s="15" t="n"/>
      <c r="S297">
        <f>IF(N297="","",MAX(0,MAX($N$2:N297)))</f>
        <v/>
      </c>
      <c r="T297">
        <f>IF(N297="","",S297-N297)</f>
        <v/>
      </c>
      <c r="U297">
        <f>IF(M297="","",IF(M297&lt;0,IF(U296="",1,U296+1),0))</f>
        <v/>
      </c>
    </row>
    <row r="298">
      <c r="A298" s="6">
        <f>IF(B298="","",ROW()-1)</f>
        <v/>
      </c>
      <c r="B298" s="15" t="n"/>
      <c r="C298" s="15" t="n"/>
      <c r="D298" s="15" t="n"/>
      <c r="E298" s="15" t="n"/>
      <c r="F298" s="15" t="n"/>
      <c r="G298" s="16" t="n"/>
      <c r="H298" s="16" t="n"/>
      <c r="I298" s="16" t="n"/>
      <c r="J298" s="15" t="n"/>
      <c r="K298" s="16" t="n"/>
      <c r="L298" s="17">
        <f>IF(OR(G298="",H298=""),"",ABS(G298-H298))</f>
        <v/>
      </c>
      <c r="M298" s="18">
        <f>IF(OR(K298="",L298="",L298=0),"",IF(D298="Short",(G298-K298)/L298,(K298-G298)/L298))</f>
        <v/>
      </c>
      <c r="N298" s="18">
        <f>IF(M298="","",SUM($M$2:M298))</f>
        <v/>
      </c>
      <c r="O298" s="19" t="n"/>
      <c r="P298" s="15" t="n"/>
      <c r="Q298" s="15" t="n"/>
      <c r="R298" s="15" t="n"/>
      <c r="S298">
        <f>IF(N298="","",MAX(0,MAX($N$2:N298)))</f>
        <v/>
      </c>
      <c r="T298">
        <f>IF(N298="","",S298-N298)</f>
        <v/>
      </c>
      <c r="U298">
        <f>IF(M298="","",IF(M298&lt;0,IF(U297="",1,U297+1),0))</f>
        <v/>
      </c>
    </row>
    <row r="299">
      <c r="A299" s="6">
        <f>IF(B299="","",ROW()-1)</f>
        <v/>
      </c>
      <c r="B299" s="15" t="n"/>
      <c r="C299" s="15" t="n"/>
      <c r="D299" s="15" t="n"/>
      <c r="E299" s="15" t="n"/>
      <c r="F299" s="15" t="n"/>
      <c r="G299" s="16" t="n"/>
      <c r="H299" s="16" t="n"/>
      <c r="I299" s="16" t="n"/>
      <c r="J299" s="15" t="n"/>
      <c r="K299" s="16" t="n"/>
      <c r="L299" s="17">
        <f>IF(OR(G299="",H299=""),"",ABS(G299-H299))</f>
        <v/>
      </c>
      <c r="M299" s="18">
        <f>IF(OR(K299="",L299="",L299=0),"",IF(D299="Short",(G299-K299)/L299,(K299-G299)/L299))</f>
        <v/>
      </c>
      <c r="N299" s="18">
        <f>IF(M299="","",SUM($M$2:M299))</f>
        <v/>
      </c>
      <c r="O299" s="19" t="n"/>
      <c r="P299" s="15" t="n"/>
      <c r="Q299" s="15" t="n"/>
      <c r="R299" s="15" t="n"/>
      <c r="S299">
        <f>IF(N299="","",MAX(0,MAX($N$2:N299)))</f>
        <v/>
      </c>
      <c r="T299">
        <f>IF(N299="","",S299-N299)</f>
        <v/>
      </c>
      <c r="U299">
        <f>IF(M299="","",IF(M299&lt;0,IF(U298="",1,U298+1),0))</f>
        <v/>
      </c>
    </row>
    <row r="300">
      <c r="A300" s="6">
        <f>IF(B300="","",ROW()-1)</f>
        <v/>
      </c>
      <c r="B300" s="15" t="n"/>
      <c r="C300" s="15" t="n"/>
      <c r="D300" s="15" t="n"/>
      <c r="E300" s="15" t="n"/>
      <c r="F300" s="15" t="n"/>
      <c r="G300" s="16" t="n"/>
      <c r="H300" s="16" t="n"/>
      <c r="I300" s="16" t="n"/>
      <c r="J300" s="15" t="n"/>
      <c r="K300" s="16" t="n"/>
      <c r="L300" s="17">
        <f>IF(OR(G300="",H300=""),"",ABS(G300-H300))</f>
        <v/>
      </c>
      <c r="M300" s="18">
        <f>IF(OR(K300="",L300="",L300=0),"",IF(D300="Short",(G300-K300)/L300,(K300-G300)/L300))</f>
        <v/>
      </c>
      <c r="N300" s="18">
        <f>IF(M300="","",SUM($M$2:M300))</f>
        <v/>
      </c>
      <c r="O300" s="19" t="n"/>
      <c r="P300" s="15" t="n"/>
      <c r="Q300" s="15" t="n"/>
      <c r="R300" s="15" t="n"/>
      <c r="S300">
        <f>IF(N300="","",MAX(0,MAX($N$2:N300)))</f>
        <v/>
      </c>
      <c r="T300">
        <f>IF(N300="","",S300-N300)</f>
        <v/>
      </c>
      <c r="U300">
        <f>IF(M300="","",IF(M300&lt;0,IF(U299="",1,U299+1),0))</f>
        <v/>
      </c>
    </row>
    <row r="301">
      <c r="A301" s="6">
        <f>IF(B301="","",ROW()-1)</f>
        <v/>
      </c>
      <c r="B301" s="15" t="n"/>
      <c r="C301" s="15" t="n"/>
      <c r="D301" s="15" t="n"/>
      <c r="E301" s="15" t="n"/>
      <c r="F301" s="15" t="n"/>
      <c r="G301" s="16" t="n"/>
      <c r="H301" s="16" t="n"/>
      <c r="I301" s="16" t="n"/>
      <c r="J301" s="15" t="n"/>
      <c r="K301" s="16" t="n"/>
      <c r="L301" s="17">
        <f>IF(OR(G301="",H301=""),"",ABS(G301-H301))</f>
        <v/>
      </c>
      <c r="M301" s="18">
        <f>IF(OR(K301="",L301="",L301=0),"",IF(D301="Short",(G301-K301)/L301,(K301-G301)/L301))</f>
        <v/>
      </c>
      <c r="N301" s="18">
        <f>IF(M301="","",SUM($M$2:M301))</f>
        <v/>
      </c>
      <c r="O301" s="19" t="n"/>
      <c r="P301" s="15" t="n"/>
      <c r="Q301" s="15" t="n"/>
      <c r="R301" s="15" t="n"/>
      <c r="S301">
        <f>IF(N301="","",MAX(0,MAX($N$2:N301)))</f>
        <v/>
      </c>
      <c r="T301">
        <f>IF(N301="","",S301-N301)</f>
        <v/>
      </c>
      <c r="U301">
        <f>IF(M301="","",IF(M301&lt;0,IF(U300="",1,U300+1),0))</f>
        <v/>
      </c>
    </row>
    <row r="302">
      <c r="A302" s="6">
        <f>IF(B302="","",ROW()-1)</f>
        <v/>
      </c>
      <c r="B302" s="15" t="n"/>
      <c r="C302" s="15" t="n"/>
      <c r="D302" s="15" t="n"/>
      <c r="E302" s="15" t="n"/>
      <c r="F302" s="15" t="n"/>
      <c r="G302" s="16" t="n"/>
      <c r="H302" s="16" t="n"/>
      <c r="I302" s="16" t="n"/>
      <c r="J302" s="15" t="n"/>
      <c r="K302" s="16" t="n"/>
      <c r="L302" s="17">
        <f>IF(OR(G302="",H302=""),"",ABS(G302-H302))</f>
        <v/>
      </c>
      <c r="M302" s="18">
        <f>IF(OR(K302="",L302="",L302=0),"",IF(D302="Short",(G302-K302)/L302,(K302-G302)/L302))</f>
        <v/>
      </c>
      <c r="N302" s="18">
        <f>IF(M302="","",SUM($M$2:M302))</f>
        <v/>
      </c>
      <c r="O302" s="19" t="n"/>
      <c r="P302" s="15" t="n"/>
      <c r="Q302" s="15" t="n"/>
      <c r="R302" s="15" t="n"/>
      <c r="S302">
        <f>IF(N302="","",MAX(0,MAX($N$2:N302)))</f>
        <v/>
      </c>
      <c r="T302">
        <f>IF(N302="","",S302-N302)</f>
        <v/>
      </c>
      <c r="U302">
        <f>IF(M302="","",IF(M302&lt;0,IF(U301="",1,U301+1),0))</f>
        <v/>
      </c>
    </row>
    <row r="303">
      <c r="A303" s="6">
        <f>IF(B303="","",ROW()-1)</f>
        <v/>
      </c>
      <c r="B303" s="15" t="n"/>
      <c r="C303" s="15" t="n"/>
      <c r="D303" s="15" t="n"/>
      <c r="E303" s="15" t="n"/>
      <c r="F303" s="15" t="n"/>
      <c r="G303" s="16" t="n"/>
      <c r="H303" s="16" t="n"/>
      <c r="I303" s="16" t="n"/>
      <c r="J303" s="15" t="n"/>
      <c r="K303" s="16" t="n"/>
      <c r="L303" s="17">
        <f>IF(OR(G303="",H303=""),"",ABS(G303-H303))</f>
        <v/>
      </c>
      <c r="M303" s="18">
        <f>IF(OR(K303="",L303="",L303=0),"",IF(D303="Short",(G303-K303)/L303,(K303-G303)/L303))</f>
        <v/>
      </c>
      <c r="N303" s="18">
        <f>IF(M303="","",SUM($M$2:M303))</f>
        <v/>
      </c>
      <c r="O303" s="19" t="n"/>
      <c r="P303" s="15" t="n"/>
      <c r="Q303" s="15" t="n"/>
      <c r="R303" s="15" t="n"/>
      <c r="S303">
        <f>IF(N303="","",MAX(0,MAX($N$2:N303)))</f>
        <v/>
      </c>
      <c r="T303">
        <f>IF(N303="","",S303-N303)</f>
        <v/>
      </c>
      <c r="U303">
        <f>IF(M303="","",IF(M303&lt;0,IF(U302="",1,U302+1),0))</f>
        <v/>
      </c>
    </row>
    <row r="304">
      <c r="A304" s="6">
        <f>IF(B304="","",ROW()-1)</f>
        <v/>
      </c>
      <c r="B304" s="15" t="n"/>
      <c r="C304" s="15" t="n"/>
      <c r="D304" s="15" t="n"/>
      <c r="E304" s="15" t="n"/>
      <c r="F304" s="15" t="n"/>
      <c r="G304" s="16" t="n"/>
      <c r="H304" s="16" t="n"/>
      <c r="I304" s="16" t="n"/>
      <c r="J304" s="15" t="n"/>
      <c r="K304" s="16" t="n"/>
      <c r="L304" s="17">
        <f>IF(OR(G304="",H304=""),"",ABS(G304-H304))</f>
        <v/>
      </c>
      <c r="M304" s="18">
        <f>IF(OR(K304="",L304="",L304=0),"",IF(D304="Short",(G304-K304)/L304,(K304-G304)/L304))</f>
        <v/>
      </c>
      <c r="N304" s="18">
        <f>IF(M304="","",SUM($M$2:M304))</f>
        <v/>
      </c>
      <c r="O304" s="19" t="n"/>
      <c r="P304" s="15" t="n"/>
      <c r="Q304" s="15" t="n"/>
      <c r="R304" s="15" t="n"/>
      <c r="S304">
        <f>IF(N304="","",MAX(0,MAX($N$2:N304)))</f>
        <v/>
      </c>
      <c r="T304">
        <f>IF(N304="","",S304-N304)</f>
        <v/>
      </c>
      <c r="U304">
        <f>IF(M304="","",IF(M304&lt;0,IF(U303="",1,U303+1),0))</f>
        <v/>
      </c>
    </row>
    <row r="305">
      <c r="A305" s="6">
        <f>IF(B305="","",ROW()-1)</f>
        <v/>
      </c>
      <c r="B305" s="15" t="n"/>
      <c r="C305" s="15" t="n"/>
      <c r="D305" s="15" t="n"/>
      <c r="E305" s="15" t="n"/>
      <c r="F305" s="15" t="n"/>
      <c r="G305" s="16" t="n"/>
      <c r="H305" s="16" t="n"/>
      <c r="I305" s="16" t="n"/>
      <c r="J305" s="15" t="n"/>
      <c r="K305" s="16" t="n"/>
      <c r="L305" s="17">
        <f>IF(OR(G305="",H305=""),"",ABS(G305-H305))</f>
        <v/>
      </c>
      <c r="M305" s="18">
        <f>IF(OR(K305="",L305="",L305=0),"",IF(D305="Short",(G305-K305)/L305,(K305-G305)/L305))</f>
        <v/>
      </c>
      <c r="N305" s="18">
        <f>IF(M305="","",SUM($M$2:M305))</f>
        <v/>
      </c>
      <c r="O305" s="19" t="n"/>
      <c r="P305" s="15" t="n"/>
      <c r="Q305" s="15" t="n"/>
      <c r="R305" s="15" t="n"/>
      <c r="S305">
        <f>IF(N305="","",MAX(0,MAX($N$2:N305)))</f>
        <v/>
      </c>
      <c r="T305">
        <f>IF(N305="","",S305-N305)</f>
        <v/>
      </c>
      <c r="U305">
        <f>IF(M305="","",IF(M305&lt;0,IF(U304="",1,U304+1),0))</f>
        <v/>
      </c>
    </row>
    <row r="306">
      <c r="A306" s="6">
        <f>IF(B306="","",ROW()-1)</f>
        <v/>
      </c>
      <c r="B306" s="15" t="n"/>
      <c r="C306" s="15" t="n"/>
      <c r="D306" s="15" t="n"/>
      <c r="E306" s="15" t="n"/>
      <c r="F306" s="15" t="n"/>
      <c r="G306" s="16" t="n"/>
      <c r="H306" s="16" t="n"/>
      <c r="I306" s="16" t="n"/>
      <c r="J306" s="15" t="n"/>
      <c r="K306" s="16" t="n"/>
      <c r="L306" s="17">
        <f>IF(OR(G306="",H306=""),"",ABS(G306-H306))</f>
        <v/>
      </c>
      <c r="M306" s="18">
        <f>IF(OR(K306="",L306="",L306=0),"",IF(D306="Short",(G306-K306)/L306,(K306-G306)/L306))</f>
        <v/>
      </c>
      <c r="N306" s="18">
        <f>IF(M306="","",SUM($M$2:M306))</f>
        <v/>
      </c>
      <c r="O306" s="19" t="n"/>
      <c r="P306" s="15" t="n"/>
      <c r="Q306" s="15" t="n"/>
      <c r="R306" s="15" t="n"/>
      <c r="S306">
        <f>IF(N306="","",MAX(0,MAX($N$2:N306)))</f>
        <v/>
      </c>
      <c r="T306">
        <f>IF(N306="","",S306-N306)</f>
        <v/>
      </c>
      <c r="U306">
        <f>IF(M306="","",IF(M306&lt;0,IF(U305="",1,U305+1),0))</f>
        <v/>
      </c>
    </row>
    <row r="307">
      <c r="A307" s="6">
        <f>IF(B307="","",ROW()-1)</f>
        <v/>
      </c>
      <c r="B307" s="15" t="n"/>
      <c r="C307" s="15" t="n"/>
      <c r="D307" s="15" t="n"/>
      <c r="E307" s="15" t="n"/>
      <c r="F307" s="15" t="n"/>
      <c r="G307" s="16" t="n"/>
      <c r="H307" s="16" t="n"/>
      <c r="I307" s="16" t="n"/>
      <c r="J307" s="15" t="n"/>
      <c r="K307" s="16" t="n"/>
      <c r="L307" s="17">
        <f>IF(OR(G307="",H307=""),"",ABS(G307-H307))</f>
        <v/>
      </c>
      <c r="M307" s="18">
        <f>IF(OR(K307="",L307="",L307=0),"",IF(D307="Short",(G307-K307)/L307,(K307-G307)/L307))</f>
        <v/>
      </c>
      <c r="N307" s="18">
        <f>IF(M307="","",SUM($M$2:M307))</f>
        <v/>
      </c>
      <c r="O307" s="19" t="n"/>
      <c r="P307" s="15" t="n"/>
      <c r="Q307" s="15" t="n"/>
      <c r="R307" s="15" t="n"/>
      <c r="S307">
        <f>IF(N307="","",MAX(0,MAX($N$2:N307)))</f>
        <v/>
      </c>
      <c r="T307">
        <f>IF(N307="","",S307-N307)</f>
        <v/>
      </c>
      <c r="U307">
        <f>IF(M307="","",IF(M307&lt;0,IF(U306="",1,U306+1),0))</f>
        <v/>
      </c>
    </row>
    <row r="308">
      <c r="A308" s="6">
        <f>IF(B308="","",ROW()-1)</f>
        <v/>
      </c>
      <c r="B308" s="15" t="n"/>
      <c r="C308" s="15" t="n"/>
      <c r="D308" s="15" t="n"/>
      <c r="E308" s="15" t="n"/>
      <c r="F308" s="15" t="n"/>
      <c r="G308" s="16" t="n"/>
      <c r="H308" s="16" t="n"/>
      <c r="I308" s="16" t="n"/>
      <c r="J308" s="15" t="n"/>
      <c r="K308" s="16" t="n"/>
      <c r="L308" s="17">
        <f>IF(OR(G308="",H308=""),"",ABS(G308-H308))</f>
        <v/>
      </c>
      <c r="M308" s="18">
        <f>IF(OR(K308="",L308="",L308=0),"",IF(D308="Short",(G308-K308)/L308,(K308-G308)/L308))</f>
        <v/>
      </c>
      <c r="N308" s="18">
        <f>IF(M308="","",SUM($M$2:M308))</f>
        <v/>
      </c>
      <c r="O308" s="19" t="n"/>
      <c r="P308" s="15" t="n"/>
      <c r="Q308" s="15" t="n"/>
      <c r="R308" s="15" t="n"/>
      <c r="S308">
        <f>IF(N308="","",MAX(0,MAX($N$2:N308)))</f>
        <v/>
      </c>
      <c r="T308">
        <f>IF(N308="","",S308-N308)</f>
        <v/>
      </c>
      <c r="U308">
        <f>IF(M308="","",IF(M308&lt;0,IF(U307="",1,U307+1),0))</f>
        <v/>
      </c>
    </row>
    <row r="309">
      <c r="A309" s="6">
        <f>IF(B309="","",ROW()-1)</f>
        <v/>
      </c>
      <c r="B309" s="15" t="n"/>
      <c r="C309" s="15" t="n"/>
      <c r="D309" s="15" t="n"/>
      <c r="E309" s="15" t="n"/>
      <c r="F309" s="15" t="n"/>
      <c r="G309" s="16" t="n"/>
      <c r="H309" s="16" t="n"/>
      <c r="I309" s="16" t="n"/>
      <c r="J309" s="15" t="n"/>
      <c r="K309" s="16" t="n"/>
      <c r="L309" s="17">
        <f>IF(OR(G309="",H309=""),"",ABS(G309-H309))</f>
        <v/>
      </c>
      <c r="M309" s="18">
        <f>IF(OR(K309="",L309="",L309=0),"",IF(D309="Short",(G309-K309)/L309,(K309-G309)/L309))</f>
        <v/>
      </c>
      <c r="N309" s="18">
        <f>IF(M309="","",SUM($M$2:M309))</f>
        <v/>
      </c>
      <c r="O309" s="19" t="n"/>
      <c r="P309" s="15" t="n"/>
      <c r="Q309" s="15" t="n"/>
      <c r="R309" s="15" t="n"/>
      <c r="S309">
        <f>IF(N309="","",MAX(0,MAX($N$2:N309)))</f>
        <v/>
      </c>
      <c r="T309">
        <f>IF(N309="","",S309-N309)</f>
        <v/>
      </c>
      <c r="U309">
        <f>IF(M309="","",IF(M309&lt;0,IF(U308="",1,U308+1),0))</f>
        <v/>
      </c>
    </row>
    <row r="310">
      <c r="A310" s="6">
        <f>IF(B310="","",ROW()-1)</f>
        <v/>
      </c>
      <c r="B310" s="15" t="n"/>
      <c r="C310" s="15" t="n"/>
      <c r="D310" s="15" t="n"/>
      <c r="E310" s="15" t="n"/>
      <c r="F310" s="15" t="n"/>
      <c r="G310" s="16" t="n"/>
      <c r="H310" s="16" t="n"/>
      <c r="I310" s="16" t="n"/>
      <c r="J310" s="15" t="n"/>
      <c r="K310" s="16" t="n"/>
      <c r="L310" s="17">
        <f>IF(OR(G310="",H310=""),"",ABS(G310-H310))</f>
        <v/>
      </c>
      <c r="M310" s="18">
        <f>IF(OR(K310="",L310="",L310=0),"",IF(D310="Short",(G310-K310)/L310,(K310-G310)/L310))</f>
        <v/>
      </c>
      <c r="N310" s="18">
        <f>IF(M310="","",SUM($M$2:M310))</f>
        <v/>
      </c>
      <c r="O310" s="19" t="n"/>
      <c r="P310" s="15" t="n"/>
      <c r="Q310" s="15" t="n"/>
      <c r="R310" s="15" t="n"/>
      <c r="S310">
        <f>IF(N310="","",MAX(0,MAX($N$2:N310)))</f>
        <v/>
      </c>
      <c r="T310">
        <f>IF(N310="","",S310-N310)</f>
        <v/>
      </c>
      <c r="U310">
        <f>IF(M310="","",IF(M310&lt;0,IF(U309="",1,U309+1),0))</f>
        <v/>
      </c>
    </row>
    <row r="311">
      <c r="A311" s="6">
        <f>IF(B311="","",ROW()-1)</f>
        <v/>
      </c>
      <c r="B311" s="15" t="n"/>
      <c r="C311" s="15" t="n"/>
      <c r="D311" s="15" t="n"/>
      <c r="E311" s="15" t="n"/>
      <c r="F311" s="15" t="n"/>
      <c r="G311" s="16" t="n"/>
      <c r="H311" s="16" t="n"/>
      <c r="I311" s="16" t="n"/>
      <c r="J311" s="15" t="n"/>
      <c r="K311" s="16" t="n"/>
      <c r="L311" s="17">
        <f>IF(OR(G311="",H311=""),"",ABS(G311-H311))</f>
        <v/>
      </c>
      <c r="M311" s="18">
        <f>IF(OR(K311="",L311="",L311=0),"",IF(D311="Short",(G311-K311)/L311,(K311-G311)/L311))</f>
        <v/>
      </c>
      <c r="N311" s="18">
        <f>IF(M311="","",SUM($M$2:M311))</f>
        <v/>
      </c>
      <c r="O311" s="19" t="n"/>
      <c r="P311" s="15" t="n"/>
      <c r="Q311" s="15" t="n"/>
      <c r="R311" s="15" t="n"/>
      <c r="S311">
        <f>IF(N311="","",MAX(0,MAX($N$2:N311)))</f>
        <v/>
      </c>
      <c r="T311">
        <f>IF(N311="","",S311-N311)</f>
        <v/>
      </c>
      <c r="U311">
        <f>IF(M311="","",IF(M311&lt;0,IF(U310="",1,U310+1),0))</f>
        <v/>
      </c>
    </row>
    <row r="312">
      <c r="A312" s="6">
        <f>IF(B312="","",ROW()-1)</f>
        <v/>
      </c>
      <c r="B312" s="15" t="n"/>
      <c r="C312" s="15" t="n"/>
      <c r="D312" s="15" t="n"/>
      <c r="E312" s="15" t="n"/>
      <c r="F312" s="15" t="n"/>
      <c r="G312" s="16" t="n"/>
      <c r="H312" s="16" t="n"/>
      <c r="I312" s="16" t="n"/>
      <c r="J312" s="15" t="n"/>
      <c r="K312" s="16" t="n"/>
      <c r="L312" s="17">
        <f>IF(OR(G312="",H312=""),"",ABS(G312-H312))</f>
        <v/>
      </c>
      <c r="M312" s="18">
        <f>IF(OR(K312="",L312="",L312=0),"",IF(D312="Short",(G312-K312)/L312,(K312-G312)/L312))</f>
        <v/>
      </c>
      <c r="N312" s="18">
        <f>IF(M312="","",SUM($M$2:M312))</f>
        <v/>
      </c>
      <c r="O312" s="19" t="n"/>
      <c r="P312" s="15" t="n"/>
      <c r="Q312" s="15" t="n"/>
      <c r="R312" s="15" t="n"/>
      <c r="S312">
        <f>IF(N312="","",MAX(0,MAX($N$2:N312)))</f>
        <v/>
      </c>
      <c r="T312">
        <f>IF(N312="","",S312-N312)</f>
        <v/>
      </c>
      <c r="U312">
        <f>IF(M312="","",IF(M312&lt;0,IF(U311="",1,U311+1),0))</f>
        <v/>
      </c>
    </row>
    <row r="313">
      <c r="A313" s="6">
        <f>IF(B313="","",ROW()-1)</f>
        <v/>
      </c>
      <c r="B313" s="15" t="n"/>
      <c r="C313" s="15" t="n"/>
      <c r="D313" s="15" t="n"/>
      <c r="E313" s="15" t="n"/>
      <c r="F313" s="15" t="n"/>
      <c r="G313" s="16" t="n"/>
      <c r="H313" s="16" t="n"/>
      <c r="I313" s="16" t="n"/>
      <c r="J313" s="15" t="n"/>
      <c r="K313" s="16" t="n"/>
      <c r="L313" s="17">
        <f>IF(OR(G313="",H313=""),"",ABS(G313-H313))</f>
        <v/>
      </c>
      <c r="M313" s="18">
        <f>IF(OR(K313="",L313="",L313=0),"",IF(D313="Short",(G313-K313)/L313,(K313-G313)/L313))</f>
        <v/>
      </c>
      <c r="N313" s="18">
        <f>IF(M313="","",SUM($M$2:M313))</f>
        <v/>
      </c>
      <c r="O313" s="19" t="n"/>
      <c r="P313" s="15" t="n"/>
      <c r="Q313" s="15" t="n"/>
      <c r="R313" s="15" t="n"/>
      <c r="S313">
        <f>IF(N313="","",MAX(0,MAX($N$2:N313)))</f>
        <v/>
      </c>
      <c r="T313">
        <f>IF(N313="","",S313-N313)</f>
        <v/>
      </c>
      <c r="U313">
        <f>IF(M313="","",IF(M313&lt;0,IF(U312="",1,U312+1),0))</f>
        <v/>
      </c>
    </row>
    <row r="314">
      <c r="A314" s="6">
        <f>IF(B314="","",ROW()-1)</f>
        <v/>
      </c>
      <c r="B314" s="15" t="n"/>
      <c r="C314" s="15" t="n"/>
      <c r="D314" s="15" t="n"/>
      <c r="E314" s="15" t="n"/>
      <c r="F314" s="15" t="n"/>
      <c r="G314" s="16" t="n"/>
      <c r="H314" s="16" t="n"/>
      <c r="I314" s="16" t="n"/>
      <c r="J314" s="15" t="n"/>
      <c r="K314" s="16" t="n"/>
      <c r="L314" s="17">
        <f>IF(OR(G314="",H314=""),"",ABS(G314-H314))</f>
        <v/>
      </c>
      <c r="M314" s="18">
        <f>IF(OR(K314="",L314="",L314=0),"",IF(D314="Short",(G314-K314)/L314,(K314-G314)/L314))</f>
        <v/>
      </c>
      <c r="N314" s="18">
        <f>IF(M314="","",SUM($M$2:M314))</f>
        <v/>
      </c>
      <c r="O314" s="19" t="n"/>
      <c r="P314" s="15" t="n"/>
      <c r="Q314" s="15" t="n"/>
      <c r="R314" s="15" t="n"/>
      <c r="S314">
        <f>IF(N314="","",MAX(0,MAX($N$2:N314)))</f>
        <v/>
      </c>
      <c r="T314">
        <f>IF(N314="","",S314-N314)</f>
        <v/>
      </c>
      <c r="U314">
        <f>IF(M314="","",IF(M314&lt;0,IF(U313="",1,U313+1),0))</f>
        <v/>
      </c>
    </row>
    <row r="315">
      <c r="A315" s="6">
        <f>IF(B315="","",ROW()-1)</f>
        <v/>
      </c>
      <c r="B315" s="15" t="n"/>
      <c r="C315" s="15" t="n"/>
      <c r="D315" s="15" t="n"/>
      <c r="E315" s="15" t="n"/>
      <c r="F315" s="15" t="n"/>
      <c r="G315" s="16" t="n"/>
      <c r="H315" s="16" t="n"/>
      <c r="I315" s="16" t="n"/>
      <c r="J315" s="15" t="n"/>
      <c r="K315" s="16" t="n"/>
      <c r="L315" s="17">
        <f>IF(OR(G315="",H315=""),"",ABS(G315-H315))</f>
        <v/>
      </c>
      <c r="M315" s="18">
        <f>IF(OR(K315="",L315="",L315=0),"",IF(D315="Short",(G315-K315)/L315,(K315-G315)/L315))</f>
        <v/>
      </c>
      <c r="N315" s="18">
        <f>IF(M315="","",SUM($M$2:M315))</f>
        <v/>
      </c>
      <c r="O315" s="19" t="n"/>
      <c r="P315" s="15" t="n"/>
      <c r="Q315" s="15" t="n"/>
      <c r="R315" s="15" t="n"/>
      <c r="S315">
        <f>IF(N315="","",MAX(0,MAX($N$2:N315)))</f>
        <v/>
      </c>
      <c r="T315">
        <f>IF(N315="","",S315-N315)</f>
        <v/>
      </c>
      <c r="U315">
        <f>IF(M315="","",IF(M315&lt;0,IF(U314="",1,U314+1),0))</f>
        <v/>
      </c>
    </row>
    <row r="316">
      <c r="A316" s="6">
        <f>IF(B316="","",ROW()-1)</f>
        <v/>
      </c>
      <c r="B316" s="15" t="n"/>
      <c r="C316" s="15" t="n"/>
      <c r="D316" s="15" t="n"/>
      <c r="E316" s="15" t="n"/>
      <c r="F316" s="15" t="n"/>
      <c r="G316" s="16" t="n"/>
      <c r="H316" s="16" t="n"/>
      <c r="I316" s="16" t="n"/>
      <c r="J316" s="15" t="n"/>
      <c r="K316" s="16" t="n"/>
      <c r="L316" s="17">
        <f>IF(OR(G316="",H316=""),"",ABS(G316-H316))</f>
        <v/>
      </c>
      <c r="M316" s="18">
        <f>IF(OR(K316="",L316="",L316=0),"",IF(D316="Short",(G316-K316)/L316,(K316-G316)/L316))</f>
        <v/>
      </c>
      <c r="N316" s="18">
        <f>IF(M316="","",SUM($M$2:M316))</f>
        <v/>
      </c>
      <c r="O316" s="19" t="n"/>
      <c r="P316" s="15" t="n"/>
      <c r="Q316" s="15" t="n"/>
      <c r="R316" s="15" t="n"/>
      <c r="S316">
        <f>IF(N316="","",MAX(0,MAX($N$2:N316)))</f>
        <v/>
      </c>
      <c r="T316">
        <f>IF(N316="","",S316-N316)</f>
        <v/>
      </c>
      <c r="U316">
        <f>IF(M316="","",IF(M316&lt;0,IF(U315="",1,U315+1),0))</f>
        <v/>
      </c>
    </row>
    <row r="317">
      <c r="A317" s="6">
        <f>IF(B317="","",ROW()-1)</f>
        <v/>
      </c>
      <c r="B317" s="15" t="n"/>
      <c r="C317" s="15" t="n"/>
      <c r="D317" s="15" t="n"/>
      <c r="E317" s="15" t="n"/>
      <c r="F317" s="15" t="n"/>
      <c r="G317" s="16" t="n"/>
      <c r="H317" s="16" t="n"/>
      <c r="I317" s="16" t="n"/>
      <c r="J317" s="15" t="n"/>
      <c r="K317" s="16" t="n"/>
      <c r="L317" s="17">
        <f>IF(OR(G317="",H317=""),"",ABS(G317-H317))</f>
        <v/>
      </c>
      <c r="M317" s="18">
        <f>IF(OR(K317="",L317="",L317=0),"",IF(D317="Short",(G317-K317)/L317,(K317-G317)/L317))</f>
        <v/>
      </c>
      <c r="N317" s="18">
        <f>IF(M317="","",SUM($M$2:M317))</f>
        <v/>
      </c>
      <c r="O317" s="19" t="n"/>
      <c r="P317" s="15" t="n"/>
      <c r="Q317" s="15" t="n"/>
      <c r="R317" s="15" t="n"/>
      <c r="S317">
        <f>IF(N317="","",MAX(0,MAX($N$2:N317)))</f>
        <v/>
      </c>
      <c r="T317">
        <f>IF(N317="","",S317-N317)</f>
        <v/>
      </c>
      <c r="U317">
        <f>IF(M317="","",IF(M317&lt;0,IF(U316="",1,U316+1),0))</f>
        <v/>
      </c>
    </row>
    <row r="318">
      <c r="A318" s="6">
        <f>IF(B318="","",ROW()-1)</f>
        <v/>
      </c>
      <c r="B318" s="15" t="n"/>
      <c r="C318" s="15" t="n"/>
      <c r="D318" s="15" t="n"/>
      <c r="E318" s="15" t="n"/>
      <c r="F318" s="15" t="n"/>
      <c r="G318" s="16" t="n"/>
      <c r="H318" s="16" t="n"/>
      <c r="I318" s="16" t="n"/>
      <c r="J318" s="15" t="n"/>
      <c r="K318" s="16" t="n"/>
      <c r="L318" s="17">
        <f>IF(OR(G318="",H318=""),"",ABS(G318-H318))</f>
        <v/>
      </c>
      <c r="M318" s="18">
        <f>IF(OR(K318="",L318="",L318=0),"",IF(D318="Short",(G318-K318)/L318,(K318-G318)/L318))</f>
        <v/>
      </c>
      <c r="N318" s="18">
        <f>IF(M318="","",SUM($M$2:M318))</f>
        <v/>
      </c>
      <c r="O318" s="19" t="n"/>
      <c r="P318" s="15" t="n"/>
      <c r="Q318" s="15" t="n"/>
      <c r="R318" s="15" t="n"/>
      <c r="S318">
        <f>IF(N318="","",MAX(0,MAX($N$2:N318)))</f>
        <v/>
      </c>
      <c r="T318">
        <f>IF(N318="","",S318-N318)</f>
        <v/>
      </c>
      <c r="U318">
        <f>IF(M318="","",IF(M318&lt;0,IF(U317="",1,U317+1),0))</f>
        <v/>
      </c>
    </row>
    <row r="319">
      <c r="A319" s="6">
        <f>IF(B319="","",ROW()-1)</f>
        <v/>
      </c>
      <c r="B319" s="15" t="n"/>
      <c r="C319" s="15" t="n"/>
      <c r="D319" s="15" t="n"/>
      <c r="E319" s="15" t="n"/>
      <c r="F319" s="15" t="n"/>
      <c r="G319" s="16" t="n"/>
      <c r="H319" s="16" t="n"/>
      <c r="I319" s="16" t="n"/>
      <c r="J319" s="15" t="n"/>
      <c r="K319" s="16" t="n"/>
      <c r="L319" s="17">
        <f>IF(OR(G319="",H319=""),"",ABS(G319-H319))</f>
        <v/>
      </c>
      <c r="M319" s="18">
        <f>IF(OR(K319="",L319="",L319=0),"",IF(D319="Short",(G319-K319)/L319,(K319-G319)/L319))</f>
        <v/>
      </c>
      <c r="N319" s="18">
        <f>IF(M319="","",SUM($M$2:M319))</f>
        <v/>
      </c>
      <c r="O319" s="19" t="n"/>
      <c r="P319" s="15" t="n"/>
      <c r="Q319" s="15" t="n"/>
      <c r="R319" s="15" t="n"/>
      <c r="S319">
        <f>IF(N319="","",MAX(0,MAX($N$2:N319)))</f>
        <v/>
      </c>
      <c r="T319">
        <f>IF(N319="","",S319-N319)</f>
        <v/>
      </c>
      <c r="U319">
        <f>IF(M319="","",IF(M319&lt;0,IF(U318="",1,U318+1),0))</f>
        <v/>
      </c>
    </row>
    <row r="320">
      <c r="A320" s="6">
        <f>IF(B320="","",ROW()-1)</f>
        <v/>
      </c>
      <c r="B320" s="15" t="n"/>
      <c r="C320" s="15" t="n"/>
      <c r="D320" s="15" t="n"/>
      <c r="E320" s="15" t="n"/>
      <c r="F320" s="15" t="n"/>
      <c r="G320" s="16" t="n"/>
      <c r="H320" s="16" t="n"/>
      <c r="I320" s="16" t="n"/>
      <c r="J320" s="15" t="n"/>
      <c r="K320" s="16" t="n"/>
      <c r="L320" s="17">
        <f>IF(OR(G320="",H320=""),"",ABS(G320-H320))</f>
        <v/>
      </c>
      <c r="M320" s="18">
        <f>IF(OR(K320="",L320="",L320=0),"",IF(D320="Short",(G320-K320)/L320,(K320-G320)/L320))</f>
        <v/>
      </c>
      <c r="N320" s="18">
        <f>IF(M320="","",SUM($M$2:M320))</f>
        <v/>
      </c>
      <c r="O320" s="19" t="n"/>
      <c r="P320" s="15" t="n"/>
      <c r="Q320" s="15" t="n"/>
      <c r="R320" s="15" t="n"/>
      <c r="S320">
        <f>IF(N320="","",MAX(0,MAX($N$2:N320)))</f>
        <v/>
      </c>
      <c r="T320">
        <f>IF(N320="","",S320-N320)</f>
        <v/>
      </c>
      <c r="U320">
        <f>IF(M320="","",IF(M320&lt;0,IF(U319="",1,U319+1),0))</f>
        <v/>
      </c>
    </row>
    <row r="321">
      <c r="A321" s="6">
        <f>IF(B321="","",ROW()-1)</f>
        <v/>
      </c>
      <c r="B321" s="15" t="n"/>
      <c r="C321" s="15" t="n"/>
      <c r="D321" s="15" t="n"/>
      <c r="E321" s="15" t="n"/>
      <c r="F321" s="15" t="n"/>
      <c r="G321" s="16" t="n"/>
      <c r="H321" s="16" t="n"/>
      <c r="I321" s="16" t="n"/>
      <c r="J321" s="15" t="n"/>
      <c r="K321" s="16" t="n"/>
      <c r="L321" s="17">
        <f>IF(OR(G321="",H321=""),"",ABS(G321-H321))</f>
        <v/>
      </c>
      <c r="M321" s="18">
        <f>IF(OR(K321="",L321="",L321=0),"",IF(D321="Short",(G321-K321)/L321,(K321-G321)/L321))</f>
        <v/>
      </c>
      <c r="N321" s="18">
        <f>IF(M321="","",SUM($M$2:M321))</f>
        <v/>
      </c>
      <c r="O321" s="19" t="n"/>
      <c r="P321" s="15" t="n"/>
      <c r="Q321" s="15" t="n"/>
      <c r="R321" s="15" t="n"/>
      <c r="S321">
        <f>IF(N321="","",MAX(0,MAX($N$2:N321)))</f>
        <v/>
      </c>
      <c r="T321">
        <f>IF(N321="","",S321-N321)</f>
        <v/>
      </c>
      <c r="U321">
        <f>IF(M321="","",IF(M321&lt;0,IF(U320="",1,U320+1),0))</f>
        <v/>
      </c>
    </row>
    <row r="322">
      <c r="A322" s="6">
        <f>IF(B322="","",ROW()-1)</f>
        <v/>
      </c>
      <c r="B322" s="15" t="n"/>
      <c r="C322" s="15" t="n"/>
      <c r="D322" s="15" t="n"/>
      <c r="E322" s="15" t="n"/>
      <c r="F322" s="15" t="n"/>
      <c r="G322" s="16" t="n"/>
      <c r="H322" s="16" t="n"/>
      <c r="I322" s="16" t="n"/>
      <c r="J322" s="15" t="n"/>
      <c r="K322" s="16" t="n"/>
      <c r="L322" s="17">
        <f>IF(OR(G322="",H322=""),"",ABS(G322-H322))</f>
        <v/>
      </c>
      <c r="M322" s="18">
        <f>IF(OR(K322="",L322="",L322=0),"",IF(D322="Short",(G322-K322)/L322,(K322-G322)/L322))</f>
        <v/>
      </c>
      <c r="N322" s="18">
        <f>IF(M322="","",SUM($M$2:M322))</f>
        <v/>
      </c>
      <c r="O322" s="19" t="n"/>
      <c r="P322" s="15" t="n"/>
      <c r="Q322" s="15" t="n"/>
      <c r="R322" s="15" t="n"/>
      <c r="S322">
        <f>IF(N322="","",MAX(0,MAX($N$2:N322)))</f>
        <v/>
      </c>
      <c r="T322">
        <f>IF(N322="","",S322-N322)</f>
        <v/>
      </c>
      <c r="U322">
        <f>IF(M322="","",IF(M322&lt;0,IF(U321="",1,U321+1),0))</f>
        <v/>
      </c>
    </row>
    <row r="323">
      <c r="A323" s="6">
        <f>IF(B323="","",ROW()-1)</f>
        <v/>
      </c>
      <c r="B323" s="15" t="n"/>
      <c r="C323" s="15" t="n"/>
      <c r="D323" s="15" t="n"/>
      <c r="E323" s="15" t="n"/>
      <c r="F323" s="15" t="n"/>
      <c r="G323" s="16" t="n"/>
      <c r="H323" s="16" t="n"/>
      <c r="I323" s="16" t="n"/>
      <c r="J323" s="15" t="n"/>
      <c r="K323" s="16" t="n"/>
      <c r="L323" s="17">
        <f>IF(OR(G323="",H323=""),"",ABS(G323-H323))</f>
        <v/>
      </c>
      <c r="M323" s="18">
        <f>IF(OR(K323="",L323="",L323=0),"",IF(D323="Short",(G323-K323)/L323,(K323-G323)/L323))</f>
        <v/>
      </c>
      <c r="N323" s="18">
        <f>IF(M323="","",SUM($M$2:M323))</f>
        <v/>
      </c>
      <c r="O323" s="19" t="n"/>
      <c r="P323" s="15" t="n"/>
      <c r="Q323" s="15" t="n"/>
      <c r="R323" s="15" t="n"/>
      <c r="S323">
        <f>IF(N323="","",MAX(0,MAX($N$2:N323)))</f>
        <v/>
      </c>
      <c r="T323">
        <f>IF(N323="","",S323-N323)</f>
        <v/>
      </c>
      <c r="U323">
        <f>IF(M323="","",IF(M323&lt;0,IF(U322="",1,U322+1),0))</f>
        <v/>
      </c>
    </row>
    <row r="324">
      <c r="A324" s="6">
        <f>IF(B324="","",ROW()-1)</f>
        <v/>
      </c>
      <c r="B324" s="15" t="n"/>
      <c r="C324" s="15" t="n"/>
      <c r="D324" s="15" t="n"/>
      <c r="E324" s="15" t="n"/>
      <c r="F324" s="15" t="n"/>
      <c r="G324" s="16" t="n"/>
      <c r="H324" s="16" t="n"/>
      <c r="I324" s="16" t="n"/>
      <c r="J324" s="15" t="n"/>
      <c r="K324" s="16" t="n"/>
      <c r="L324" s="17">
        <f>IF(OR(G324="",H324=""),"",ABS(G324-H324))</f>
        <v/>
      </c>
      <c r="M324" s="18">
        <f>IF(OR(K324="",L324="",L324=0),"",IF(D324="Short",(G324-K324)/L324,(K324-G324)/L324))</f>
        <v/>
      </c>
      <c r="N324" s="18">
        <f>IF(M324="","",SUM($M$2:M324))</f>
        <v/>
      </c>
      <c r="O324" s="19" t="n"/>
      <c r="P324" s="15" t="n"/>
      <c r="Q324" s="15" t="n"/>
      <c r="R324" s="15" t="n"/>
      <c r="S324">
        <f>IF(N324="","",MAX(0,MAX($N$2:N324)))</f>
        <v/>
      </c>
      <c r="T324">
        <f>IF(N324="","",S324-N324)</f>
        <v/>
      </c>
      <c r="U324">
        <f>IF(M324="","",IF(M324&lt;0,IF(U323="",1,U323+1),0))</f>
        <v/>
      </c>
    </row>
    <row r="325">
      <c r="A325" s="6">
        <f>IF(B325="","",ROW()-1)</f>
        <v/>
      </c>
      <c r="B325" s="15" t="n"/>
      <c r="C325" s="15" t="n"/>
      <c r="D325" s="15" t="n"/>
      <c r="E325" s="15" t="n"/>
      <c r="F325" s="15" t="n"/>
      <c r="G325" s="16" t="n"/>
      <c r="H325" s="16" t="n"/>
      <c r="I325" s="16" t="n"/>
      <c r="J325" s="15" t="n"/>
      <c r="K325" s="16" t="n"/>
      <c r="L325" s="17">
        <f>IF(OR(G325="",H325=""),"",ABS(G325-H325))</f>
        <v/>
      </c>
      <c r="M325" s="18">
        <f>IF(OR(K325="",L325="",L325=0),"",IF(D325="Short",(G325-K325)/L325,(K325-G325)/L325))</f>
        <v/>
      </c>
      <c r="N325" s="18">
        <f>IF(M325="","",SUM($M$2:M325))</f>
        <v/>
      </c>
      <c r="O325" s="19" t="n"/>
      <c r="P325" s="15" t="n"/>
      <c r="Q325" s="15" t="n"/>
      <c r="R325" s="15" t="n"/>
      <c r="S325">
        <f>IF(N325="","",MAX(0,MAX($N$2:N325)))</f>
        <v/>
      </c>
      <c r="T325">
        <f>IF(N325="","",S325-N325)</f>
        <v/>
      </c>
      <c r="U325">
        <f>IF(M325="","",IF(M325&lt;0,IF(U324="",1,U324+1),0))</f>
        <v/>
      </c>
    </row>
    <row r="326">
      <c r="A326" s="6">
        <f>IF(B326="","",ROW()-1)</f>
        <v/>
      </c>
      <c r="B326" s="15" t="n"/>
      <c r="C326" s="15" t="n"/>
      <c r="D326" s="15" t="n"/>
      <c r="E326" s="15" t="n"/>
      <c r="F326" s="15" t="n"/>
      <c r="G326" s="16" t="n"/>
      <c r="H326" s="16" t="n"/>
      <c r="I326" s="16" t="n"/>
      <c r="J326" s="15" t="n"/>
      <c r="K326" s="16" t="n"/>
      <c r="L326" s="17">
        <f>IF(OR(G326="",H326=""),"",ABS(G326-H326))</f>
        <v/>
      </c>
      <c r="M326" s="18">
        <f>IF(OR(K326="",L326="",L326=0),"",IF(D326="Short",(G326-K326)/L326,(K326-G326)/L326))</f>
        <v/>
      </c>
      <c r="N326" s="18">
        <f>IF(M326="","",SUM($M$2:M326))</f>
        <v/>
      </c>
      <c r="O326" s="19" t="n"/>
      <c r="P326" s="15" t="n"/>
      <c r="Q326" s="15" t="n"/>
      <c r="R326" s="15" t="n"/>
      <c r="S326">
        <f>IF(N326="","",MAX(0,MAX($N$2:N326)))</f>
        <v/>
      </c>
      <c r="T326">
        <f>IF(N326="","",S326-N326)</f>
        <v/>
      </c>
      <c r="U326">
        <f>IF(M326="","",IF(M326&lt;0,IF(U325="",1,U325+1),0))</f>
        <v/>
      </c>
    </row>
    <row r="327">
      <c r="A327" s="6">
        <f>IF(B327="","",ROW()-1)</f>
        <v/>
      </c>
      <c r="B327" s="15" t="n"/>
      <c r="C327" s="15" t="n"/>
      <c r="D327" s="15" t="n"/>
      <c r="E327" s="15" t="n"/>
      <c r="F327" s="15" t="n"/>
      <c r="G327" s="16" t="n"/>
      <c r="H327" s="16" t="n"/>
      <c r="I327" s="16" t="n"/>
      <c r="J327" s="15" t="n"/>
      <c r="K327" s="16" t="n"/>
      <c r="L327" s="17">
        <f>IF(OR(G327="",H327=""),"",ABS(G327-H327))</f>
        <v/>
      </c>
      <c r="M327" s="18">
        <f>IF(OR(K327="",L327="",L327=0),"",IF(D327="Short",(G327-K327)/L327,(K327-G327)/L327))</f>
        <v/>
      </c>
      <c r="N327" s="18">
        <f>IF(M327="","",SUM($M$2:M327))</f>
        <v/>
      </c>
      <c r="O327" s="19" t="n"/>
      <c r="P327" s="15" t="n"/>
      <c r="Q327" s="15" t="n"/>
      <c r="R327" s="15" t="n"/>
      <c r="S327">
        <f>IF(N327="","",MAX(0,MAX($N$2:N327)))</f>
        <v/>
      </c>
      <c r="T327">
        <f>IF(N327="","",S327-N327)</f>
        <v/>
      </c>
      <c r="U327">
        <f>IF(M327="","",IF(M327&lt;0,IF(U326="",1,U326+1),0))</f>
        <v/>
      </c>
    </row>
    <row r="328">
      <c r="A328" s="6">
        <f>IF(B328="","",ROW()-1)</f>
        <v/>
      </c>
      <c r="B328" s="15" t="n"/>
      <c r="C328" s="15" t="n"/>
      <c r="D328" s="15" t="n"/>
      <c r="E328" s="15" t="n"/>
      <c r="F328" s="15" t="n"/>
      <c r="G328" s="16" t="n"/>
      <c r="H328" s="16" t="n"/>
      <c r="I328" s="16" t="n"/>
      <c r="J328" s="15" t="n"/>
      <c r="K328" s="16" t="n"/>
      <c r="L328" s="17">
        <f>IF(OR(G328="",H328=""),"",ABS(G328-H328))</f>
        <v/>
      </c>
      <c r="M328" s="18">
        <f>IF(OR(K328="",L328="",L328=0),"",IF(D328="Short",(G328-K328)/L328,(K328-G328)/L328))</f>
        <v/>
      </c>
      <c r="N328" s="18">
        <f>IF(M328="","",SUM($M$2:M328))</f>
        <v/>
      </c>
      <c r="O328" s="19" t="n"/>
      <c r="P328" s="15" t="n"/>
      <c r="Q328" s="15" t="n"/>
      <c r="R328" s="15" t="n"/>
      <c r="S328">
        <f>IF(N328="","",MAX(0,MAX($N$2:N328)))</f>
        <v/>
      </c>
      <c r="T328">
        <f>IF(N328="","",S328-N328)</f>
        <v/>
      </c>
      <c r="U328">
        <f>IF(M328="","",IF(M328&lt;0,IF(U327="",1,U327+1),0))</f>
        <v/>
      </c>
    </row>
    <row r="329">
      <c r="A329" s="6">
        <f>IF(B329="","",ROW()-1)</f>
        <v/>
      </c>
      <c r="B329" s="15" t="n"/>
      <c r="C329" s="15" t="n"/>
      <c r="D329" s="15" t="n"/>
      <c r="E329" s="15" t="n"/>
      <c r="F329" s="15" t="n"/>
      <c r="G329" s="16" t="n"/>
      <c r="H329" s="16" t="n"/>
      <c r="I329" s="16" t="n"/>
      <c r="J329" s="15" t="n"/>
      <c r="K329" s="16" t="n"/>
      <c r="L329" s="17">
        <f>IF(OR(G329="",H329=""),"",ABS(G329-H329))</f>
        <v/>
      </c>
      <c r="M329" s="18">
        <f>IF(OR(K329="",L329="",L329=0),"",IF(D329="Short",(G329-K329)/L329,(K329-G329)/L329))</f>
        <v/>
      </c>
      <c r="N329" s="18">
        <f>IF(M329="","",SUM($M$2:M329))</f>
        <v/>
      </c>
      <c r="O329" s="19" t="n"/>
      <c r="P329" s="15" t="n"/>
      <c r="Q329" s="15" t="n"/>
      <c r="R329" s="15" t="n"/>
      <c r="S329">
        <f>IF(N329="","",MAX(0,MAX($N$2:N329)))</f>
        <v/>
      </c>
      <c r="T329">
        <f>IF(N329="","",S329-N329)</f>
        <v/>
      </c>
      <c r="U329">
        <f>IF(M329="","",IF(M329&lt;0,IF(U328="",1,U328+1),0))</f>
        <v/>
      </c>
    </row>
    <row r="330">
      <c r="A330" s="6">
        <f>IF(B330="","",ROW()-1)</f>
        <v/>
      </c>
      <c r="B330" s="15" t="n"/>
      <c r="C330" s="15" t="n"/>
      <c r="D330" s="15" t="n"/>
      <c r="E330" s="15" t="n"/>
      <c r="F330" s="15" t="n"/>
      <c r="G330" s="16" t="n"/>
      <c r="H330" s="16" t="n"/>
      <c r="I330" s="16" t="n"/>
      <c r="J330" s="15" t="n"/>
      <c r="K330" s="16" t="n"/>
      <c r="L330" s="17">
        <f>IF(OR(G330="",H330=""),"",ABS(G330-H330))</f>
        <v/>
      </c>
      <c r="M330" s="18">
        <f>IF(OR(K330="",L330="",L330=0),"",IF(D330="Short",(G330-K330)/L330,(K330-G330)/L330))</f>
        <v/>
      </c>
      <c r="N330" s="18">
        <f>IF(M330="","",SUM($M$2:M330))</f>
        <v/>
      </c>
      <c r="O330" s="19" t="n"/>
      <c r="P330" s="15" t="n"/>
      <c r="Q330" s="15" t="n"/>
      <c r="R330" s="15" t="n"/>
      <c r="S330">
        <f>IF(N330="","",MAX(0,MAX($N$2:N330)))</f>
        <v/>
      </c>
      <c r="T330">
        <f>IF(N330="","",S330-N330)</f>
        <v/>
      </c>
      <c r="U330">
        <f>IF(M330="","",IF(M330&lt;0,IF(U329="",1,U329+1),0))</f>
        <v/>
      </c>
    </row>
    <row r="331">
      <c r="A331" s="6">
        <f>IF(B331="","",ROW()-1)</f>
        <v/>
      </c>
      <c r="B331" s="15" t="n"/>
      <c r="C331" s="15" t="n"/>
      <c r="D331" s="15" t="n"/>
      <c r="E331" s="15" t="n"/>
      <c r="F331" s="15" t="n"/>
      <c r="G331" s="16" t="n"/>
      <c r="H331" s="16" t="n"/>
      <c r="I331" s="16" t="n"/>
      <c r="J331" s="15" t="n"/>
      <c r="K331" s="16" t="n"/>
      <c r="L331" s="17">
        <f>IF(OR(G331="",H331=""),"",ABS(G331-H331))</f>
        <v/>
      </c>
      <c r="M331" s="18">
        <f>IF(OR(K331="",L331="",L331=0),"",IF(D331="Short",(G331-K331)/L331,(K331-G331)/L331))</f>
        <v/>
      </c>
      <c r="N331" s="18">
        <f>IF(M331="","",SUM($M$2:M331))</f>
        <v/>
      </c>
      <c r="O331" s="19" t="n"/>
      <c r="P331" s="15" t="n"/>
      <c r="Q331" s="15" t="n"/>
      <c r="R331" s="15" t="n"/>
      <c r="S331">
        <f>IF(N331="","",MAX(0,MAX($N$2:N331)))</f>
        <v/>
      </c>
      <c r="T331">
        <f>IF(N331="","",S331-N331)</f>
        <v/>
      </c>
      <c r="U331">
        <f>IF(M331="","",IF(M331&lt;0,IF(U330="",1,U330+1),0))</f>
        <v/>
      </c>
    </row>
    <row r="332">
      <c r="A332" s="6">
        <f>IF(B332="","",ROW()-1)</f>
        <v/>
      </c>
      <c r="B332" s="15" t="n"/>
      <c r="C332" s="15" t="n"/>
      <c r="D332" s="15" t="n"/>
      <c r="E332" s="15" t="n"/>
      <c r="F332" s="15" t="n"/>
      <c r="G332" s="16" t="n"/>
      <c r="H332" s="16" t="n"/>
      <c r="I332" s="16" t="n"/>
      <c r="J332" s="15" t="n"/>
      <c r="K332" s="16" t="n"/>
      <c r="L332" s="17">
        <f>IF(OR(G332="",H332=""),"",ABS(G332-H332))</f>
        <v/>
      </c>
      <c r="M332" s="18">
        <f>IF(OR(K332="",L332="",L332=0),"",IF(D332="Short",(G332-K332)/L332,(K332-G332)/L332))</f>
        <v/>
      </c>
      <c r="N332" s="18">
        <f>IF(M332="","",SUM($M$2:M332))</f>
        <v/>
      </c>
      <c r="O332" s="19" t="n"/>
      <c r="P332" s="15" t="n"/>
      <c r="Q332" s="15" t="n"/>
      <c r="R332" s="15" t="n"/>
      <c r="S332">
        <f>IF(N332="","",MAX(0,MAX($N$2:N332)))</f>
        <v/>
      </c>
      <c r="T332">
        <f>IF(N332="","",S332-N332)</f>
        <v/>
      </c>
      <c r="U332">
        <f>IF(M332="","",IF(M332&lt;0,IF(U331="",1,U331+1),0))</f>
        <v/>
      </c>
    </row>
    <row r="333">
      <c r="A333" s="6">
        <f>IF(B333="","",ROW()-1)</f>
        <v/>
      </c>
      <c r="B333" s="15" t="n"/>
      <c r="C333" s="15" t="n"/>
      <c r="D333" s="15" t="n"/>
      <c r="E333" s="15" t="n"/>
      <c r="F333" s="15" t="n"/>
      <c r="G333" s="16" t="n"/>
      <c r="H333" s="16" t="n"/>
      <c r="I333" s="16" t="n"/>
      <c r="J333" s="15" t="n"/>
      <c r="K333" s="16" t="n"/>
      <c r="L333" s="17">
        <f>IF(OR(G333="",H333=""),"",ABS(G333-H333))</f>
        <v/>
      </c>
      <c r="M333" s="18">
        <f>IF(OR(K333="",L333="",L333=0),"",IF(D333="Short",(G333-K333)/L333,(K333-G333)/L333))</f>
        <v/>
      </c>
      <c r="N333" s="18">
        <f>IF(M333="","",SUM($M$2:M333))</f>
        <v/>
      </c>
      <c r="O333" s="19" t="n"/>
      <c r="P333" s="15" t="n"/>
      <c r="Q333" s="15" t="n"/>
      <c r="R333" s="15" t="n"/>
      <c r="S333">
        <f>IF(N333="","",MAX(0,MAX($N$2:N333)))</f>
        <v/>
      </c>
      <c r="T333">
        <f>IF(N333="","",S333-N333)</f>
        <v/>
      </c>
      <c r="U333">
        <f>IF(M333="","",IF(M333&lt;0,IF(U332="",1,U332+1),0))</f>
        <v/>
      </c>
    </row>
    <row r="334">
      <c r="A334" s="6">
        <f>IF(B334="","",ROW()-1)</f>
        <v/>
      </c>
      <c r="B334" s="15" t="n"/>
      <c r="C334" s="15" t="n"/>
      <c r="D334" s="15" t="n"/>
      <c r="E334" s="15" t="n"/>
      <c r="F334" s="15" t="n"/>
      <c r="G334" s="16" t="n"/>
      <c r="H334" s="16" t="n"/>
      <c r="I334" s="16" t="n"/>
      <c r="J334" s="15" t="n"/>
      <c r="K334" s="16" t="n"/>
      <c r="L334" s="17">
        <f>IF(OR(G334="",H334=""),"",ABS(G334-H334))</f>
        <v/>
      </c>
      <c r="M334" s="18">
        <f>IF(OR(K334="",L334="",L334=0),"",IF(D334="Short",(G334-K334)/L334,(K334-G334)/L334))</f>
        <v/>
      </c>
      <c r="N334" s="18">
        <f>IF(M334="","",SUM($M$2:M334))</f>
        <v/>
      </c>
      <c r="O334" s="19" t="n"/>
      <c r="P334" s="15" t="n"/>
      <c r="Q334" s="15" t="n"/>
      <c r="R334" s="15" t="n"/>
      <c r="S334">
        <f>IF(N334="","",MAX(0,MAX($N$2:N334)))</f>
        <v/>
      </c>
      <c r="T334">
        <f>IF(N334="","",S334-N334)</f>
        <v/>
      </c>
      <c r="U334">
        <f>IF(M334="","",IF(M334&lt;0,IF(U333="",1,U333+1),0))</f>
        <v/>
      </c>
    </row>
    <row r="335">
      <c r="A335" s="6">
        <f>IF(B335="","",ROW()-1)</f>
        <v/>
      </c>
      <c r="B335" s="15" t="n"/>
      <c r="C335" s="15" t="n"/>
      <c r="D335" s="15" t="n"/>
      <c r="E335" s="15" t="n"/>
      <c r="F335" s="15" t="n"/>
      <c r="G335" s="16" t="n"/>
      <c r="H335" s="16" t="n"/>
      <c r="I335" s="16" t="n"/>
      <c r="J335" s="15" t="n"/>
      <c r="K335" s="16" t="n"/>
      <c r="L335" s="17">
        <f>IF(OR(G335="",H335=""),"",ABS(G335-H335))</f>
        <v/>
      </c>
      <c r="M335" s="18">
        <f>IF(OR(K335="",L335="",L335=0),"",IF(D335="Short",(G335-K335)/L335,(K335-G335)/L335))</f>
        <v/>
      </c>
      <c r="N335" s="18">
        <f>IF(M335="","",SUM($M$2:M335))</f>
        <v/>
      </c>
      <c r="O335" s="19" t="n"/>
      <c r="P335" s="15" t="n"/>
      <c r="Q335" s="15" t="n"/>
      <c r="R335" s="15" t="n"/>
      <c r="S335">
        <f>IF(N335="","",MAX(0,MAX($N$2:N335)))</f>
        <v/>
      </c>
      <c r="T335">
        <f>IF(N335="","",S335-N335)</f>
        <v/>
      </c>
      <c r="U335">
        <f>IF(M335="","",IF(M335&lt;0,IF(U334="",1,U334+1),0))</f>
        <v/>
      </c>
    </row>
    <row r="336">
      <c r="A336" s="6">
        <f>IF(B336="","",ROW()-1)</f>
        <v/>
      </c>
      <c r="B336" s="15" t="n"/>
      <c r="C336" s="15" t="n"/>
      <c r="D336" s="15" t="n"/>
      <c r="E336" s="15" t="n"/>
      <c r="F336" s="15" t="n"/>
      <c r="G336" s="16" t="n"/>
      <c r="H336" s="16" t="n"/>
      <c r="I336" s="16" t="n"/>
      <c r="J336" s="15" t="n"/>
      <c r="K336" s="16" t="n"/>
      <c r="L336" s="17">
        <f>IF(OR(G336="",H336=""),"",ABS(G336-H336))</f>
        <v/>
      </c>
      <c r="M336" s="18">
        <f>IF(OR(K336="",L336="",L336=0),"",IF(D336="Short",(G336-K336)/L336,(K336-G336)/L336))</f>
        <v/>
      </c>
      <c r="N336" s="18">
        <f>IF(M336="","",SUM($M$2:M336))</f>
        <v/>
      </c>
      <c r="O336" s="19" t="n"/>
      <c r="P336" s="15" t="n"/>
      <c r="Q336" s="15" t="n"/>
      <c r="R336" s="15" t="n"/>
      <c r="S336">
        <f>IF(N336="","",MAX(0,MAX($N$2:N336)))</f>
        <v/>
      </c>
      <c r="T336">
        <f>IF(N336="","",S336-N336)</f>
        <v/>
      </c>
      <c r="U336">
        <f>IF(M336="","",IF(M336&lt;0,IF(U335="",1,U335+1),0))</f>
        <v/>
      </c>
    </row>
    <row r="337">
      <c r="A337" s="6">
        <f>IF(B337="","",ROW()-1)</f>
        <v/>
      </c>
      <c r="B337" s="15" t="n"/>
      <c r="C337" s="15" t="n"/>
      <c r="D337" s="15" t="n"/>
      <c r="E337" s="15" t="n"/>
      <c r="F337" s="15" t="n"/>
      <c r="G337" s="16" t="n"/>
      <c r="H337" s="16" t="n"/>
      <c r="I337" s="16" t="n"/>
      <c r="J337" s="15" t="n"/>
      <c r="K337" s="16" t="n"/>
      <c r="L337" s="17">
        <f>IF(OR(G337="",H337=""),"",ABS(G337-H337))</f>
        <v/>
      </c>
      <c r="M337" s="18">
        <f>IF(OR(K337="",L337="",L337=0),"",IF(D337="Short",(G337-K337)/L337,(K337-G337)/L337))</f>
        <v/>
      </c>
      <c r="N337" s="18">
        <f>IF(M337="","",SUM($M$2:M337))</f>
        <v/>
      </c>
      <c r="O337" s="19" t="n"/>
      <c r="P337" s="15" t="n"/>
      <c r="Q337" s="15" t="n"/>
      <c r="R337" s="15" t="n"/>
      <c r="S337">
        <f>IF(N337="","",MAX(0,MAX($N$2:N337)))</f>
        <v/>
      </c>
      <c r="T337">
        <f>IF(N337="","",S337-N337)</f>
        <v/>
      </c>
      <c r="U337">
        <f>IF(M337="","",IF(M337&lt;0,IF(U336="",1,U336+1),0))</f>
        <v/>
      </c>
    </row>
    <row r="338">
      <c r="A338" s="6">
        <f>IF(B338="","",ROW()-1)</f>
        <v/>
      </c>
      <c r="B338" s="15" t="n"/>
      <c r="C338" s="15" t="n"/>
      <c r="D338" s="15" t="n"/>
      <c r="E338" s="15" t="n"/>
      <c r="F338" s="15" t="n"/>
      <c r="G338" s="16" t="n"/>
      <c r="H338" s="16" t="n"/>
      <c r="I338" s="16" t="n"/>
      <c r="J338" s="15" t="n"/>
      <c r="K338" s="16" t="n"/>
      <c r="L338" s="17">
        <f>IF(OR(G338="",H338=""),"",ABS(G338-H338))</f>
        <v/>
      </c>
      <c r="M338" s="18">
        <f>IF(OR(K338="",L338="",L338=0),"",IF(D338="Short",(G338-K338)/L338,(K338-G338)/L338))</f>
        <v/>
      </c>
      <c r="N338" s="18">
        <f>IF(M338="","",SUM($M$2:M338))</f>
        <v/>
      </c>
      <c r="O338" s="19" t="n"/>
      <c r="P338" s="15" t="n"/>
      <c r="Q338" s="15" t="n"/>
      <c r="R338" s="15" t="n"/>
      <c r="S338">
        <f>IF(N338="","",MAX(0,MAX($N$2:N338)))</f>
        <v/>
      </c>
      <c r="T338">
        <f>IF(N338="","",S338-N338)</f>
        <v/>
      </c>
      <c r="U338">
        <f>IF(M338="","",IF(M338&lt;0,IF(U337="",1,U337+1),0))</f>
        <v/>
      </c>
    </row>
    <row r="339">
      <c r="A339" s="6">
        <f>IF(B339="","",ROW()-1)</f>
        <v/>
      </c>
      <c r="B339" s="15" t="n"/>
      <c r="C339" s="15" t="n"/>
      <c r="D339" s="15" t="n"/>
      <c r="E339" s="15" t="n"/>
      <c r="F339" s="15" t="n"/>
      <c r="G339" s="16" t="n"/>
      <c r="H339" s="16" t="n"/>
      <c r="I339" s="16" t="n"/>
      <c r="J339" s="15" t="n"/>
      <c r="K339" s="16" t="n"/>
      <c r="L339" s="17">
        <f>IF(OR(G339="",H339=""),"",ABS(G339-H339))</f>
        <v/>
      </c>
      <c r="M339" s="18">
        <f>IF(OR(K339="",L339="",L339=0),"",IF(D339="Short",(G339-K339)/L339,(K339-G339)/L339))</f>
        <v/>
      </c>
      <c r="N339" s="18">
        <f>IF(M339="","",SUM($M$2:M339))</f>
        <v/>
      </c>
      <c r="O339" s="19" t="n"/>
      <c r="P339" s="15" t="n"/>
      <c r="Q339" s="15" t="n"/>
      <c r="R339" s="15" t="n"/>
      <c r="S339">
        <f>IF(N339="","",MAX(0,MAX($N$2:N339)))</f>
        <v/>
      </c>
      <c r="T339">
        <f>IF(N339="","",S339-N339)</f>
        <v/>
      </c>
      <c r="U339">
        <f>IF(M339="","",IF(M339&lt;0,IF(U338="",1,U338+1),0))</f>
        <v/>
      </c>
    </row>
    <row r="340">
      <c r="A340" s="6">
        <f>IF(B340="","",ROW()-1)</f>
        <v/>
      </c>
      <c r="B340" s="15" t="n"/>
      <c r="C340" s="15" t="n"/>
      <c r="D340" s="15" t="n"/>
      <c r="E340" s="15" t="n"/>
      <c r="F340" s="15" t="n"/>
      <c r="G340" s="16" t="n"/>
      <c r="H340" s="16" t="n"/>
      <c r="I340" s="16" t="n"/>
      <c r="J340" s="15" t="n"/>
      <c r="K340" s="16" t="n"/>
      <c r="L340" s="17">
        <f>IF(OR(G340="",H340=""),"",ABS(G340-H340))</f>
        <v/>
      </c>
      <c r="M340" s="18">
        <f>IF(OR(K340="",L340="",L340=0),"",IF(D340="Short",(G340-K340)/L340,(K340-G340)/L340))</f>
        <v/>
      </c>
      <c r="N340" s="18">
        <f>IF(M340="","",SUM($M$2:M340))</f>
        <v/>
      </c>
      <c r="O340" s="19" t="n"/>
      <c r="P340" s="15" t="n"/>
      <c r="Q340" s="15" t="n"/>
      <c r="R340" s="15" t="n"/>
      <c r="S340">
        <f>IF(N340="","",MAX(0,MAX($N$2:N340)))</f>
        <v/>
      </c>
      <c r="T340">
        <f>IF(N340="","",S340-N340)</f>
        <v/>
      </c>
      <c r="U340">
        <f>IF(M340="","",IF(M340&lt;0,IF(U339="",1,U339+1),0))</f>
        <v/>
      </c>
    </row>
    <row r="341">
      <c r="A341" s="6">
        <f>IF(B341="","",ROW()-1)</f>
        <v/>
      </c>
      <c r="B341" s="15" t="n"/>
      <c r="C341" s="15" t="n"/>
      <c r="D341" s="15" t="n"/>
      <c r="E341" s="15" t="n"/>
      <c r="F341" s="15" t="n"/>
      <c r="G341" s="16" t="n"/>
      <c r="H341" s="16" t="n"/>
      <c r="I341" s="16" t="n"/>
      <c r="J341" s="15" t="n"/>
      <c r="K341" s="16" t="n"/>
      <c r="L341" s="17">
        <f>IF(OR(G341="",H341=""),"",ABS(G341-H341))</f>
        <v/>
      </c>
      <c r="M341" s="18">
        <f>IF(OR(K341="",L341="",L341=0),"",IF(D341="Short",(G341-K341)/L341,(K341-G341)/L341))</f>
        <v/>
      </c>
      <c r="N341" s="18">
        <f>IF(M341="","",SUM($M$2:M341))</f>
        <v/>
      </c>
      <c r="O341" s="19" t="n"/>
      <c r="P341" s="15" t="n"/>
      <c r="Q341" s="15" t="n"/>
      <c r="R341" s="15" t="n"/>
      <c r="S341">
        <f>IF(N341="","",MAX(0,MAX($N$2:N341)))</f>
        <v/>
      </c>
      <c r="T341">
        <f>IF(N341="","",S341-N341)</f>
        <v/>
      </c>
      <c r="U341">
        <f>IF(M341="","",IF(M341&lt;0,IF(U340="",1,U340+1),0))</f>
        <v/>
      </c>
    </row>
    <row r="342">
      <c r="A342" s="6">
        <f>IF(B342="","",ROW()-1)</f>
        <v/>
      </c>
      <c r="B342" s="15" t="n"/>
      <c r="C342" s="15" t="n"/>
      <c r="D342" s="15" t="n"/>
      <c r="E342" s="15" t="n"/>
      <c r="F342" s="15" t="n"/>
      <c r="G342" s="16" t="n"/>
      <c r="H342" s="16" t="n"/>
      <c r="I342" s="16" t="n"/>
      <c r="J342" s="15" t="n"/>
      <c r="K342" s="16" t="n"/>
      <c r="L342" s="17">
        <f>IF(OR(G342="",H342=""),"",ABS(G342-H342))</f>
        <v/>
      </c>
      <c r="M342" s="18">
        <f>IF(OR(K342="",L342="",L342=0),"",IF(D342="Short",(G342-K342)/L342,(K342-G342)/L342))</f>
        <v/>
      </c>
      <c r="N342" s="18">
        <f>IF(M342="","",SUM($M$2:M342))</f>
        <v/>
      </c>
      <c r="O342" s="19" t="n"/>
      <c r="P342" s="15" t="n"/>
      <c r="Q342" s="15" t="n"/>
      <c r="R342" s="15" t="n"/>
      <c r="S342">
        <f>IF(N342="","",MAX(0,MAX($N$2:N342)))</f>
        <v/>
      </c>
      <c r="T342">
        <f>IF(N342="","",S342-N342)</f>
        <v/>
      </c>
      <c r="U342">
        <f>IF(M342="","",IF(M342&lt;0,IF(U341="",1,U341+1),0))</f>
        <v/>
      </c>
    </row>
    <row r="343">
      <c r="A343" s="6">
        <f>IF(B343="","",ROW()-1)</f>
        <v/>
      </c>
      <c r="B343" s="15" t="n"/>
      <c r="C343" s="15" t="n"/>
      <c r="D343" s="15" t="n"/>
      <c r="E343" s="15" t="n"/>
      <c r="F343" s="15" t="n"/>
      <c r="G343" s="16" t="n"/>
      <c r="H343" s="16" t="n"/>
      <c r="I343" s="16" t="n"/>
      <c r="J343" s="15" t="n"/>
      <c r="K343" s="16" t="n"/>
      <c r="L343" s="17">
        <f>IF(OR(G343="",H343=""),"",ABS(G343-H343))</f>
        <v/>
      </c>
      <c r="M343" s="18">
        <f>IF(OR(K343="",L343="",L343=0),"",IF(D343="Short",(G343-K343)/L343,(K343-G343)/L343))</f>
        <v/>
      </c>
      <c r="N343" s="18">
        <f>IF(M343="","",SUM($M$2:M343))</f>
        <v/>
      </c>
      <c r="O343" s="19" t="n"/>
      <c r="P343" s="15" t="n"/>
      <c r="Q343" s="15" t="n"/>
      <c r="R343" s="15" t="n"/>
      <c r="S343">
        <f>IF(N343="","",MAX(0,MAX($N$2:N343)))</f>
        <v/>
      </c>
      <c r="T343">
        <f>IF(N343="","",S343-N343)</f>
        <v/>
      </c>
      <c r="U343">
        <f>IF(M343="","",IF(M343&lt;0,IF(U342="",1,U342+1),0))</f>
        <v/>
      </c>
    </row>
    <row r="344">
      <c r="A344" s="6">
        <f>IF(B344="","",ROW()-1)</f>
        <v/>
      </c>
      <c r="B344" s="15" t="n"/>
      <c r="C344" s="15" t="n"/>
      <c r="D344" s="15" t="n"/>
      <c r="E344" s="15" t="n"/>
      <c r="F344" s="15" t="n"/>
      <c r="G344" s="16" t="n"/>
      <c r="H344" s="16" t="n"/>
      <c r="I344" s="16" t="n"/>
      <c r="J344" s="15" t="n"/>
      <c r="K344" s="16" t="n"/>
      <c r="L344" s="17">
        <f>IF(OR(G344="",H344=""),"",ABS(G344-H344))</f>
        <v/>
      </c>
      <c r="M344" s="18">
        <f>IF(OR(K344="",L344="",L344=0),"",IF(D344="Short",(G344-K344)/L344,(K344-G344)/L344))</f>
        <v/>
      </c>
      <c r="N344" s="18">
        <f>IF(M344="","",SUM($M$2:M344))</f>
        <v/>
      </c>
      <c r="O344" s="19" t="n"/>
      <c r="P344" s="15" t="n"/>
      <c r="Q344" s="15" t="n"/>
      <c r="R344" s="15" t="n"/>
      <c r="S344">
        <f>IF(N344="","",MAX(0,MAX($N$2:N344)))</f>
        <v/>
      </c>
      <c r="T344">
        <f>IF(N344="","",S344-N344)</f>
        <v/>
      </c>
      <c r="U344">
        <f>IF(M344="","",IF(M344&lt;0,IF(U343="",1,U343+1),0))</f>
        <v/>
      </c>
    </row>
    <row r="345">
      <c r="A345" s="6">
        <f>IF(B345="","",ROW()-1)</f>
        <v/>
      </c>
      <c r="B345" s="15" t="n"/>
      <c r="C345" s="15" t="n"/>
      <c r="D345" s="15" t="n"/>
      <c r="E345" s="15" t="n"/>
      <c r="F345" s="15" t="n"/>
      <c r="G345" s="16" t="n"/>
      <c r="H345" s="16" t="n"/>
      <c r="I345" s="16" t="n"/>
      <c r="J345" s="15" t="n"/>
      <c r="K345" s="16" t="n"/>
      <c r="L345" s="17">
        <f>IF(OR(G345="",H345=""),"",ABS(G345-H345))</f>
        <v/>
      </c>
      <c r="M345" s="18">
        <f>IF(OR(K345="",L345="",L345=0),"",IF(D345="Short",(G345-K345)/L345,(K345-G345)/L345))</f>
        <v/>
      </c>
      <c r="N345" s="18">
        <f>IF(M345="","",SUM($M$2:M345))</f>
        <v/>
      </c>
      <c r="O345" s="19" t="n"/>
      <c r="P345" s="15" t="n"/>
      <c r="Q345" s="15" t="n"/>
      <c r="R345" s="15" t="n"/>
      <c r="S345">
        <f>IF(N345="","",MAX(0,MAX($N$2:N345)))</f>
        <v/>
      </c>
      <c r="T345">
        <f>IF(N345="","",S345-N345)</f>
        <v/>
      </c>
      <c r="U345">
        <f>IF(M345="","",IF(M345&lt;0,IF(U344="",1,U344+1),0))</f>
        <v/>
      </c>
    </row>
    <row r="346">
      <c r="A346" s="6">
        <f>IF(B346="","",ROW()-1)</f>
        <v/>
      </c>
      <c r="B346" s="15" t="n"/>
      <c r="C346" s="15" t="n"/>
      <c r="D346" s="15" t="n"/>
      <c r="E346" s="15" t="n"/>
      <c r="F346" s="15" t="n"/>
      <c r="G346" s="16" t="n"/>
      <c r="H346" s="16" t="n"/>
      <c r="I346" s="16" t="n"/>
      <c r="J346" s="15" t="n"/>
      <c r="K346" s="16" t="n"/>
      <c r="L346" s="17">
        <f>IF(OR(G346="",H346=""),"",ABS(G346-H346))</f>
        <v/>
      </c>
      <c r="M346" s="18">
        <f>IF(OR(K346="",L346="",L346=0),"",IF(D346="Short",(G346-K346)/L346,(K346-G346)/L346))</f>
        <v/>
      </c>
      <c r="N346" s="18">
        <f>IF(M346="","",SUM($M$2:M346))</f>
        <v/>
      </c>
      <c r="O346" s="19" t="n"/>
      <c r="P346" s="15" t="n"/>
      <c r="Q346" s="15" t="n"/>
      <c r="R346" s="15" t="n"/>
      <c r="S346">
        <f>IF(N346="","",MAX(0,MAX($N$2:N346)))</f>
        <v/>
      </c>
      <c r="T346">
        <f>IF(N346="","",S346-N346)</f>
        <v/>
      </c>
      <c r="U346">
        <f>IF(M346="","",IF(M346&lt;0,IF(U345="",1,U345+1),0))</f>
        <v/>
      </c>
    </row>
    <row r="347">
      <c r="A347" s="6">
        <f>IF(B347="","",ROW()-1)</f>
        <v/>
      </c>
      <c r="B347" s="15" t="n"/>
      <c r="C347" s="15" t="n"/>
      <c r="D347" s="15" t="n"/>
      <c r="E347" s="15" t="n"/>
      <c r="F347" s="15" t="n"/>
      <c r="G347" s="16" t="n"/>
      <c r="H347" s="16" t="n"/>
      <c r="I347" s="16" t="n"/>
      <c r="J347" s="15" t="n"/>
      <c r="K347" s="16" t="n"/>
      <c r="L347" s="17">
        <f>IF(OR(G347="",H347=""),"",ABS(G347-H347))</f>
        <v/>
      </c>
      <c r="M347" s="18">
        <f>IF(OR(K347="",L347="",L347=0),"",IF(D347="Short",(G347-K347)/L347,(K347-G347)/L347))</f>
        <v/>
      </c>
      <c r="N347" s="18">
        <f>IF(M347="","",SUM($M$2:M347))</f>
        <v/>
      </c>
      <c r="O347" s="19" t="n"/>
      <c r="P347" s="15" t="n"/>
      <c r="Q347" s="15" t="n"/>
      <c r="R347" s="15" t="n"/>
      <c r="S347">
        <f>IF(N347="","",MAX(0,MAX($N$2:N347)))</f>
        <v/>
      </c>
      <c r="T347">
        <f>IF(N347="","",S347-N347)</f>
        <v/>
      </c>
      <c r="U347">
        <f>IF(M347="","",IF(M347&lt;0,IF(U346="",1,U346+1),0))</f>
        <v/>
      </c>
    </row>
    <row r="348">
      <c r="A348" s="6">
        <f>IF(B348="","",ROW()-1)</f>
        <v/>
      </c>
      <c r="B348" s="15" t="n"/>
      <c r="C348" s="15" t="n"/>
      <c r="D348" s="15" t="n"/>
      <c r="E348" s="15" t="n"/>
      <c r="F348" s="15" t="n"/>
      <c r="G348" s="16" t="n"/>
      <c r="H348" s="16" t="n"/>
      <c r="I348" s="16" t="n"/>
      <c r="J348" s="15" t="n"/>
      <c r="K348" s="16" t="n"/>
      <c r="L348" s="17">
        <f>IF(OR(G348="",H348=""),"",ABS(G348-H348))</f>
        <v/>
      </c>
      <c r="M348" s="18">
        <f>IF(OR(K348="",L348="",L348=0),"",IF(D348="Short",(G348-K348)/L348,(K348-G348)/L348))</f>
        <v/>
      </c>
      <c r="N348" s="18">
        <f>IF(M348="","",SUM($M$2:M348))</f>
        <v/>
      </c>
      <c r="O348" s="19" t="n"/>
      <c r="P348" s="15" t="n"/>
      <c r="Q348" s="15" t="n"/>
      <c r="R348" s="15" t="n"/>
      <c r="S348">
        <f>IF(N348="","",MAX(0,MAX($N$2:N348)))</f>
        <v/>
      </c>
      <c r="T348">
        <f>IF(N348="","",S348-N348)</f>
        <v/>
      </c>
      <c r="U348">
        <f>IF(M348="","",IF(M348&lt;0,IF(U347="",1,U347+1),0))</f>
        <v/>
      </c>
    </row>
    <row r="349">
      <c r="A349" s="6">
        <f>IF(B349="","",ROW()-1)</f>
        <v/>
      </c>
      <c r="B349" s="15" t="n"/>
      <c r="C349" s="15" t="n"/>
      <c r="D349" s="15" t="n"/>
      <c r="E349" s="15" t="n"/>
      <c r="F349" s="15" t="n"/>
      <c r="G349" s="16" t="n"/>
      <c r="H349" s="16" t="n"/>
      <c r="I349" s="16" t="n"/>
      <c r="J349" s="15" t="n"/>
      <c r="K349" s="16" t="n"/>
      <c r="L349" s="17">
        <f>IF(OR(G349="",H349=""),"",ABS(G349-H349))</f>
        <v/>
      </c>
      <c r="M349" s="18">
        <f>IF(OR(K349="",L349="",L349=0),"",IF(D349="Short",(G349-K349)/L349,(K349-G349)/L349))</f>
        <v/>
      </c>
      <c r="N349" s="18">
        <f>IF(M349="","",SUM($M$2:M349))</f>
        <v/>
      </c>
      <c r="O349" s="19" t="n"/>
      <c r="P349" s="15" t="n"/>
      <c r="Q349" s="15" t="n"/>
      <c r="R349" s="15" t="n"/>
      <c r="S349">
        <f>IF(N349="","",MAX(0,MAX($N$2:N349)))</f>
        <v/>
      </c>
      <c r="T349">
        <f>IF(N349="","",S349-N349)</f>
        <v/>
      </c>
      <c r="U349">
        <f>IF(M349="","",IF(M349&lt;0,IF(U348="",1,U348+1),0))</f>
        <v/>
      </c>
    </row>
    <row r="350">
      <c r="A350" s="6">
        <f>IF(B350="","",ROW()-1)</f>
        <v/>
      </c>
      <c r="B350" s="15" t="n"/>
      <c r="C350" s="15" t="n"/>
      <c r="D350" s="15" t="n"/>
      <c r="E350" s="15" t="n"/>
      <c r="F350" s="15" t="n"/>
      <c r="G350" s="16" t="n"/>
      <c r="H350" s="16" t="n"/>
      <c r="I350" s="16" t="n"/>
      <c r="J350" s="15" t="n"/>
      <c r="K350" s="16" t="n"/>
      <c r="L350" s="17">
        <f>IF(OR(G350="",H350=""),"",ABS(G350-H350))</f>
        <v/>
      </c>
      <c r="M350" s="18">
        <f>IF(OR(K350="",L350="",L350=0),"",IF(D350="Short",(G350-K350)/L350,(K350-G350)/L350))</f>
        <v/>
      </c>
      <c r="N350" s="18">
        <f>IF(M350="","",SUM($M$2:M350))</f>
        <v/>
      </c>
      <c r="O350" s="19" t="n"/>
      <c r="P350" s="15" t="n"/>
      <c r="Q350" s="15" t="n"/>
      <c r="R350" s="15" t="n"/>
      <c r="S350">
        <f>IF(N350="","",MAX(0,MAX($N$2:N350)))</f>
        <v/>
      </c>
      <c r="T350">
        <f>IF(N350="","",S350-N350)</f>
        <v/>
      </c>
      <c r="U350">
        <f>IF(M350="","",IF(M350&lt;0,IF(U349="",1,U349+1),0))</f>
        <v/>
      </c>
    </row>
    <row r="351">
      <c r="A351" s="6">
        <f>IF(B351="","",ROW()-1)</f>
        <v/>
      </c>
      <c r="B351" s="15" t="n"/>
      <c r="C351" s="15" t="n"/>
      <c r="D351" s="15" t="n"/>
      <c r="E351" s="15" t="n"/>
      <c r="F351" s="15" t="n"/>
      <c r="G351" s="16" t="n"/>
      <c r="H351" s="16" t="n"/>
      <c r="I351" s="16" t="n"/>
      <c r="J351" s="15" t="n"/>
      <c r="K351" s="16" t="n"/>
      <c r="L351" s="17">
        <f>IF(OR(G351="",H351=""),"",ABS(G351-H351))</f>
        <v/>
      </c>
      <c r="M351" s="18">
        <f>IF(OR(K351="",L351="",L351=0),"",IF(D351="Short",(G351-K351)/L351,(K351-G351)/L351))</f>
        <v/>
      </c>
      <c r="N351" s="18">
        <f>IF(M351="","",SUM($M$2:M351))</f>
        <v/>
      </c>
      <c r="O351" s="19" t="n"/>
      <c r="P351" s="15" t="n"/>
      <c r="Q351" s="15" t="n"/>
      <c r="R351" s="15" t="n"/>
      <c r="S351">
        <f>IF(N351="","",MAX(0,MAX($N$2:N351)))</f>
        <v/>
      </c>
      <c r="T351">
        <f>IF(N351="","",S351-N351)</f>
        <v/>
      </c>
      <c r="U351">
        <f>IF(M351="","",IF(M351&lt;0,IF(U350="",1,U350+1),0))</f>
        <v/>
      </c>
    </row>
    <row r="352">
      <c r="A352" s="6">
        <f>IF(B352="","",ROW()-1)</f>
        <v/>
      </c>
      <c r="B352" s="15" t="n"/>
      <c r="C352" s="15" t="n"/>
      <c r="D352" s="15" t="n"/>
      <c r="E352" s="15" t="n"/>
      <c r="F352" s="15" t="n"/>
      <c r="G352" s="16" t="n"/>
      <c r="H352" s="16" t="n"/>
      <c r="I352" s="16" t="n"/>
      <c r="J352" s="15" t="n"/>
      <c r="K352" s="16" t="n"/>
      <c r="L352" s="17">
        <f>IF(OR(G352="",H352=""),"",ABS(G352-H352))</f>
        <v/>
      </c>
      <c r="M352" s="18">
        <f>IF(OR(K352="",L352="",L352=0),"",IF(D352="Short",(G352-K352)/L352,(K352-G352)/L352))</f>
        <v/>
      </c>
      <c r="N352" s="18">
        <f>IF(M352="","",SUM($M$2:M352))</f>
        <v/>
      </c>
      <c r="O352" s="19" t="n"/>
      <c r="P352" s="15" t="n"/>
      <c r="Q352" s="15" t="n"/>
      <c r="R352" s="15" t="n"/>
      <c r="S352">
        <f>IF(N352="","",MAX(0,MAX($N$2:N352)))</f>
        <v/>
      </c>
      <c r="T352">
        <f>IF(N352="","",S352-N352)</f>
        <v/>
      </c>
      <c r="U352">
        <f>IF(M352="","",IF(M352&lt;0,IF(U351="",1,U351+1),0))</f>
        <v/>
      </c>
    </row>
    <row r="353">
      <c r="A353" s="6">
        <f>IF(B353="","",ROW()-1)</f>
        <v/>
      </c>
      <c r="B353" s="15" t="n"/>
      <c r="C353" s="15" t="n"/>
      <c r="D353" s="15" t="n"/>
      <c r="E353" s="15" t="n"/>
      <c r="F353" s="15" t="n"/>
      <c r="G353" s="16" t="n"/>
      <c r="H353" s="16" t="n"/>
      <c r="I353" s="16" t="n"/>
      <c r="J353" s="15" t="n"/>
      <c r="K353" s="16" t="n"/>
      <c r="L353" s="17">
        <f>IF(OR(G353="",H353=""),"",ABS(G353-H353))</f>
        <v/>
      </c>
      <c r="M353" s="18">
        <f>IF(OR(K353="",L353="",L353=0),"",IF(D353="Short",(G353-K353)/L353,(K353-G353)/L353))</f>
        <v/>
      </c>
      <c r="N353" s="18">
        <f>IF(M353="","",SUM($M$2:M353))</f>
        <v/>
      </c>
      <c r="O353" s="19" t="n"/>
      <c r="P353" s="15" t="n"/>
      <c r="Q353" s="15" t="n"/>
      <c r="R353" s="15" t="n"/>
      <c r="S353">
        <f>IF(N353="","",MAX(0,MAX($N$2:N353)))</f>
        <v/>
      </c>
      <c r="T353">
        <f>IF(N353="","",S353-N353)</f>
        <v/>
      </c>
      <c r="U353">
        <f>IF(M353="","",IF(M353&lt;0,IF(U352="",1,U352+1),0))</f>
        <v/>
      </c>
    </row>
    <row r="354">
      <c r="A354" s="6">
        <f>IF(B354="","",ROW()-1)</f>
        <v/>
      </c>
      <c r="B354" s="15" t="n"/>
      <c r="C354" s="15" t="n"/>
      <c r="D354" s="15" t="n"/>
      <c r="E354" s="15" t="n"/>
      <c r="F354" s="15" t="n"/>
      <c r="G354" s="16" t="n"/>
      <c r="H354" s="16" t="n"/>
      <c r="I354" s="16" t="n"/>
      <c r="J354" s="15" t="n"/>
      <c r="K354" s="16" t="n"/>
      <c r="L354" s="17">
        <f>IF(OR(G354="",H354=""),"",ABS(G354-H354))</f>
        <v/>
      </c>
      <c r="M354" s="18">
        <f>IF(OR(K354="",L354="",L354=0),"",IF(D354="Short",(G354-K354)/L354,(K354-G354)/L354))</f>
        <v/>
      </c>
      <c r="N354" s="18">
        <f>IF(M354="","",SUM($M$2:M354))</f>
        <v/>
      </c>
      <c r="O354" s="19" t="n"/>
      <c r="P354" s="15" t="n"/>
      <c r="Q354" s="15" t="n"/>
      <c r="R354" s="15" t="n"/>
      <c r="S354">
        <f>IF(N354="","",MAX(0,MAX($N$2:N354)))</f>
        <v/>
      </c>
      <c r="T354">
        <f>IF(N354="","",S354-N354)</f>
        <v/>
      </c>
      <c r="U354">
        <f>IF(M354="","",IF(M354&lt;0,IF(U353="",1,U353+1),0))</f>
        <v/>
      </c>
    </row>
    <row r="355">
      <c r="A355" s="6">
        <f>IF(B355="","",ROW()-1)</f>
        <v/>
      </c>
      <c r="B355" s="15" t="n"/>
      <c r="C355" s="15" t="n"/>
      <c r="D355" s="15" t="n"/>
      <c r="E355" s="15" t="n"/>
      <c r="F355" s="15" t="n"/>
      <c r="G355" s="16" t="n"/>
      <c r="H355" s="16" t="n"/>
      <c r="I355" s="16" t="n"/>
      <c r="J355" s="15" t="n"/>
      <c r="K355" s="16" t="n"/>
      <c r="L355" s="17">
        <f>IF(OR(G355="",H355=""),"",ABS(G355-H355))</f>
        <v/>
      </c>
      <c r="M355" s="18">
        <f>IF(OR(K355="",L355="",L355=0),"",IF(D355="Short",(G355-K355)/L355,(K355-G355)/L355))</f>
        <v/>
      </c>
      <c r="N355" s="18">
        <f>IF(M355="","",SUM($M$2:M355))</f>
        <v/>
      </c>
      <c r="O355" s="19" t="n"/>
      <c r="P355" s="15" t="n"/>
      <c r="Q355" s="15" t="n"/>
      <c r="R355" s="15" t="n"/>
      <c r="S355">
        <f>IF(N355="","",MAX(0,MAX($N$2:N355)))</f>
        <v/>
      </c>
      <c r="T355">
        <f>IF(N355="","",S355-N355)</f>
        <v/>
      </c>
      <c r="U355">
        <f>IF(M355="","",IF(M355&lt;0,IF(U354="",1,U354+1),0))</f>
        <v/>
      </c>
    </row>
    <row r="356">
      <c r="A356" s="6">
        <f>IF(B356="","",ROW()-1)</f>
        <v/>
      </c>
      <c r="B356" s="15" t="n"/>
      <c r="C356" s="15" t="n"/>
      <c r="D356" s="15" t="n"/>
      <c r="E356" s="15" t="n"/>
      <c r="F356" s="15" t="n"/>
      <c r="G356" s="16" t="n"/>
      <c r="H356" s="16" t="n"/>
      <c r="I356" s="16" t="n"/>
      <c r="J356" s="15" t="n"/>
      <c r="K356" s="16" t="n"/>
      <c r="L356" s="17">
        <f>IF(OR(G356="",H356=""),"",ABS(G356-H356))</f>
        <v/>
      </c>
      <c r="M356" s="18">
        <f>IF(OR(K356="",L356="",L356=0),"",IF(D356="Short",(G356-K356)/L356,(K356-G356)/L356))</f>
        <v/>
      </c>
      <c r="N356" s="18">
        <f>IF(M356="","",SUM($M$2:M356))</f>
        <v/>
      </c>
      <c r="O356" s="19" t="n"/>
      <c r="P356" s="15" t="n"/>
      <c r="Q356" s="15" t="n"/>
      <c r="R356" s="15" t="n"/>
      <c r="S356">
        <f>IF(N356="","",MAX(0,MAX($N$2:N356)))</f>
        <v/>
      </c>
      <c r="T356">
        <f>IF(N356="","",S356-N356)</f>
        <v/>
      </c>
      <c r="U356">
        <f>IF(M356="","",IF(M356&lt;0,IF(U355="",1,U355+1),0))</f>
        <v/>
      </c>
    </row>
    <row r="357">
      <c r="A357" s="6">
        <f>IF(B357="","",ROW()-1)</f>
        <v/>
      </c>
      <c r="B357" s="15" t="n"/>
      <c r="C357" s="15" t="n"/>
      <c r="D357" s="15" t="n"/>
      <c r="E357" s="15" t="n"/>
      <c r="F357" s="15" t="n"/>
      <c r="G357" s="16" t="n"/>
      <c r="H357" s="16" t="n"/>
      <c r="I357" s="16" t="n"/>
      <c r="J357" s="15" t="n"/>
      <c r="K357" s="16" t="n"/>
      <c r="L357" s="17">
        <f>IF(OR(G357="",H357=""),"",ABS(G357-H357))</f>
        <v/>
      </c>
      <c r="M357" s="18">
        <f>IF(OR(K357="",L357="",L357=0),"",IF(D357="Short",(G357-K357)/L357,(K357-G357)/L357))</f>
        <v/>
      </c>
      <c r="N357" s="18">
        <f>IF(M357="","",SUM($M$2:M357))</f>
        <v/>
      </c>
      <c r="O357" s="19" t="n"/>
      <c r="P357" s="15" t="n"/>
      <c r="Q357" s="15" t="n"/>
      <c r="R357" s="15" t="n"/>
      <c r="S357">
        <f>IF(N357="","",MAX(0,MAX($N$2:N357)))</f>
        <v/>
      </c>
      <c r="T357">
        <f>IF(N357="","",S357-N357)</f>
        <v/>
      </c>
      <c r="U357">
        <f>IF(M357="","",IF(M357&lt;0,IF(U356="",1,U356+1),0))</f>
        <v/>
      </c>
    </row>
    <row r="358">
      <c r="A358" s="6">
        <f>IF(B358="","",ROW()-1)</f>
        <v/>
      </c>
      <c r="B358" s="15" t="n"/>
      <c r="C358" s="15" t="n"/>
      <c r="D358" s="15" t="n"/>
      <c r="E358" s="15" t="n"/>
      <c r="F358" s="15" t="n"/>
      <c r="G358" s="16" t="n"/>
      <c r="H358" s="16" t="n"/>
      <c r="I358" s="16" t="n"/>
      <c r="J358" s="15" t="n"/>
      <c r="K358" s="16" t="n"/>
      <c r="L358" s="17">
        <f>IF(OR(G358="",H358=""),"",ABS(G358-H358))</f>
        <v/>
      </c>
      <c r="M358" s="18">
        <f>IF(OR(K358="",L358="",L358=0),"",IF(D358="Short",(G358-K358)/L358,(K358-G358)/L358))</f>
        <v/>
      </c>
      <c r="N358" s="18">
        <f>IF(M358="","",SUM($M$2:M358))</f>
        <v/>
      </c>
      <c r="O358" s="19" t="n"/>
      <c r="P358" s="15" t="n"/>
      <c r="Q358" s="15" t="n"/>
      <c r="R358" s="15" t="n"/>
      <c r="S358">
        <f>IF(N358="","",MAX(0,MAX($N$2:N358)))</f>
        <v/>
      </c>
      <c r="T358">
        <f>IF(N358="","",S358-N358)</f>
        <v/>
      </c>
      <c r="U358">
        <f>IF(M358="","",IF(M358&lt;0,IF(U357="",1,U357+1),0))</f>
        <v/>
      </c>
    </row>
    <row r="359">
      <c r="A359" s="6">
        <f>IF(B359="","",ROW()-1)</f>
        <v/>
      </c>
      <c r="B359" s="15" t="n"/>
      <c r="C359" s="15" t="n"/>
      <c r="D359" s="15" t="n"/>
      <c r="E359" s="15" t="n"/>
      <c r="F359" s="15" t="n"/>
      <c r="G359" s="16" t="n"/>
      <c r="H359" s="16" t="n"/>
      <c r="I359" s="16" t="n"/>
      <c r="J359" s="15" t="n"/>
      <c r="K359" s="16" t="n"/>
      <c r="L359" s="17">
        <f>IF(OR(G359="",H359=""),"",ABS(G359-H359))</f>
        <v/>
      </c>
      <c r="M359" s="18">
        <f>IF(OR(K359="",L359="",L359=0),"",IF(D359="Short",(G359-K359)/L359,(K359-G359)/L359))</f>
        <v/>
      </c>
      <c r="N359" s="18">
        <f>IF(M359="","",SUM($M$2:M359))</f>
        <v/>
      </c>
      <c r="O359" s="19" t="n"/>
      <c r="P359" s="15" t="n"/>
      <c r="Q359" s="15" t="n"/>
      <c r="R359" s="15" t="n"/>
      <c r="S359">
        <f>IF(N359="","",MAX(0,MAX($N$2:N359)))</f>
        <v/>
      </c>
      <c r="T359">
        <f>IF(N359="","",S359-N359)</f>
        <v/>
      </c>
      <c r="U359">
        <f>IF(M359="","",IF(M359&lt;0,IF(U358="",1,U358+1),0))</f>
        <v/>
      </c>
    </row>
    <row r="360">
      <c r="A360" s="6">
        <f>IF(B360="","",ROW()-1)</f>
        <v/>
      </c>
      <c r="B360" s="15" t="n"/>
      <c r="C360" s="15" t="n"/>
      <c r="D360" s="15" t="n"/>
      <c r="E360" s="15" t="n"/>
      <c r="F360" s="15" t="n"/>
      <c r="G360" s="16" t="n"/>
      <c r="H360" s="16" t="n"/>
      <c r="I360" s="16" t="n"/>
      <c r="J360" s="15" t="n"/>
      <c r="K360" s="16" t="n"/>
      <c r="L360" s="17">
        <f>IF(OR(G360="",H360=""),"",ABS(G360-H360))</f>
        <v/>
      </c>
      <c r="M360" s="18">
        <f>IF(OR(K360="",L360="",L360=0),"",IF(D360="Short",(G360-K360)/L360,(K360-G360)/L360))</f>
        <v/>
      </c>
      <c r="N360" s="18">
        <f>IF(M360="","",SUM($M$2:M360))</f>
        <v/>
      </c>
      <c r="O360" s="19" t="n"/>
      <c r="P360" s="15" t="n"/>
      <c r="Q360" s="15" t="n"/>
      <c r="R360" s="15" t="n"/>
      <c r="S360">
        <f>IF(N360="","",MAX(0,MAX($N$2:N360)))</f>
        <v/>
      </c>
      <c r="T360">
        <f>IF(N360="","",S360-N360)</f>
        <v/>
      </c>
      <c r="U360">
        <f>IF(M360="","",IF(M360&lt;0,IF(U359="",1,U359+1),0))</f>
        <v/>
      </c>
    </row>
    <row r="361">
      <c r="A361" s="6">
        <f>IF(B361="","",ROW()-1)</f>
        <v/>
      </c>
      <c r="B361" s="15" t="n"/>
      <c r="C361" s="15" t="n"/>
      <c r="D361" s="15" t="n"/>
      <c r="E361" s="15" t="n"/>
      <c r="F361" s="15" t="n"/>
      <c r="G361" s="16" t="n"/>
      <c r="H361" s="16" t="n"/>
      <c r="I361" s="16" t="n"/>
      <c r="J361" s="15" t="n"/>
      <c r="K361" s="16" t="n"/>
      <c r="L361" s="17">
        <f>IF(OR(G361="",H361=""),"",ABS(G361-H361))</f>
        <v/>
      </c>
      <c r="M361" s="18">
        <f>IF(OR(K361="",L361="",L361=0),"",IF(D361="Short",(G361-K361)/L361,(K361-G361)/L361))</f>
        <v/>
      </c>
      <c r="N361" s="18">
        <f>IF(M361="","",SUM($M$2:M361))</f>
        <v/>
      </c>
      <c r="O361" s="19" t="n"/>
      <c r="P361" s="15" t="n"/>
      <c r="Q361" s="15" t="n"/>
      <c r="R361" s="15" t="n"/>
      <c r="S361">
        <f>IF(N361="","",MAX(0,MAX($N$2:N361)))</f>
        <v/>
      </c>
      <c r="T361">
        <f>IF(N361="","",S361-N361)</f>
        <v/>
      </c>
      <c r="U361">
        <f>IF(M361="","",IF(M361&lt;0,IF(U360="",1,U360+1),0))</f>
        <v/>
      </c>
    </row>
    <row r="362">
      <c r="A362" s="6">
        <f>IF(B362="","",ROW()-1)</f>
        <v/>
      </c>
      <c r="B362" s="15" t="n"/>
      <c r="C362" s="15" t="n"/>
      <c r="D362" s="15" t="n"/>
      <c r="E362" s="15" t="n"/>
      <c r="F362" s="15" t="n"/>
      <c r="G362" s="16" t="n"/>
      <c r="H362" s="16" t="n"/>
      <c r="I362" s="16" t="n"/>
      <c r="J362" s="15" t="n"/>
      <c r="K362" s="16" t="n"/>
      <c r="L362" s="17">
        <f>IF(OR(G362="",H362=""),"",ABS(G362-H362))</f>
        <v/>
      </c>
      <c r="M362" s="18">
        <f>IF(OR(K362="",L362="",L362=0),"",IF(D362="Short",(G362-K362)/L362,(K362-G362)/L362))</f>
        <v/>
      </c>
      <c r="N362" s="18">
        <f>IF(M362="","",SUM($M$2:M362))</f>
        <v/>
      </c>
      <c r="O362" s="19" t="n"/>
      <c r="P362" s="15" t="n"/>
      <c r="Q362" s="15" t="n"/>
      <c r="R362" s="15" t="n"/>
      <c r="S362">
        <f>IF(N362="","",MAX(0,MAX($N$2:N362)))</f>
        <v/>
      </c>
      <c r="T362">
        <f>IF(N362="","",S362-N362)</f>
        <v/>
      </c>
      <c r="U362">
        <f>IF(M362="","",IF(M362&lt;0,IF(U361="",1,U361+1),0))</f>
        <v/>
      </c>
    </row>
    <row r="363">
      <c r="A363" s="6">
        <f>IF(B363="","",ROW()-1)</f>
        <v/>
      </c>
      <c r="B363" s="15" t="n"/>
      <c r="C363" s="15" t="n"/>
      <c r="D363" s="15" t="n"/>
      <c r="E363" s="15" t="n"/>
      <c r="F363" s="15" t="n"/>
      <c r="G363" s="16" t="n"/>
      <c r="H363" s="16" t="n"/>
      <c r="I363" s="16" t="n"/>
      <c r="J363" s="15" t="n"/>
      <c r="K363" s="16" t="n"/>
      <c r="L363" s="17">
        <f>IF(OR(G363="",H363=""),"",ABS(G363-H363))</f>
        <v/>
      </c>
      <c r="M363" s="18">
        <f>IF(OR(K363="",L363="",L363=0),"",IF(D363="Short",(G363-K363)/L363,(K363-G363)/L363))</f>
        <v/>
      </c>
      <c r="N363" s="18">
        <f>IF(M363="","",SUM($M$2:M363))</f>
        <v/>
      </c>
      <c r="O363" s="19" t="n"/>
      <c r="P363" s="15" t="n"/>
      <c r="Q363" s="15" t="n"/>
      <c r="R363" s="15" t="n"/>
      <c r="S363">
        <f>IF(N363="","",MAX(0,MAX($N$2:N363)))</f>
        <v/>
      </c>
      <c r="T363">
        <f>IF(N363="","",S363-N363)</f>
        <v/>
      </c>
      <c r="U363">
        <f>IF(M363="","",IF(M363&lt;0,IF(U362="",1,U362+1),0))</f>
        <v/>
      </c>
    </row>
    <row r="364">
      <c r="A364" s="6">
        <f>IF(B364="","",ROW()-1)</f>
        <v/>
      </c>
      <c r="B364" s="15" t="n"/>
      <c r="C364" s="15" t="n"/>
      <c r="D364" s="15" t="n"/>
      <c r="E364" s="15" t="n"/>
      <c r="F364" s="15" t="n"/>
      <c r="G364" s="16" t="n"/>
      <c r="H364" s="16" t="n"/>
      <c r="I364" s="16" t="n"/>
      <c r="J364" s="15" t="n"/>
      <c r="K364" s="16" t="n"/>
      <c r="L364" s="17">
        <f>IF(OR(G364="",H364=""),"",ABS(G364-H364))</f>
        <v/>
      </c>
      <c r="M364" s="18">
        <f>IF(OR(K364="",L364="",L364=0),"",IF(D364="Short",(G364-K364)/L364,(K364-G364)/L364))</f>
        <v/>
      </c>
      <c r="N364" s="18">
        <f>IF(M364="","",SUM($M$2:M364))</f>
        <v/>
      </c>
      <c r="O364" s="19" t="n"/>
      <c r="P364" s="15" t="n"/>
      <c r="Q364" s="15" t="n"/>
      <c r="R364" s="15" t="n"/>
      <c r="S364">
        <f>IF(N364="","",MAX(0,MAX($N$2:N364)))</f>
        <v/>
      </c>
      <c r="T364">
        <f>IF(N364="","",S364-N364)</f>
        <v/>
      </c>
      <c r="U364">
        <f>IF(M364="","",IF(M364&lt;0,IF(U363="",1,U363+1),0))</f>
        <v/>
      </c>
    </row>
    <row r="365">
      <c r="A365" s="6">
        <f>IF(B365="","",ROW()-1)</f>
        <v/>
      </c>
      <c r="B365" s="15" t="n"/>
      <c r="C365" s="15" t="n"/>
      <c r="D365" s="15" t="n"/>
      <c r="E365" s="15" t="n"/>
      <c r="F365" s="15" t="n"/>
      <c r="G365" s="16" t="n"/>
      <c r="H365" s="16" t="n"/>
      <c r="I365" s="16" t="n"/>
      <c r="J365" s="15" t="n"/>
      <c r="K365" s="16" t="n"/>
      <c r="L365" s="17">
        <f>IF(OR(G365="",H365=""),"",ABS(G365-H365))</f>
        <v/>
      </c>
      <c r="M365" s="18">
        <f>IF(OR(K365="",L365="",L365=0),"",IF(D365="Short",(G365-K365)/L365,(K365-G365)/L365))</f>
        <v/>
      </c>
      <c r="N365" s="18">
        <f>IF(M365="","",SUM($M$2:M365))</f>
        <v/>
      </c>
      <c r="O365" s="19" t="n"/>
      <c r="P365" s="15" t="n"/>
      <c r="Q365" s="15" t="n"/>
      <c r="R365" s="15" t="n"/>
      <c r="S365">
        <f>IF(N365="","",MAX(0,MAX($N$2:N365)))</f>
        <v/>
      </c>
      <c r="T365">
        <f>IF(N365="","",S365-N365)</f>
        <v/>
      </c>
      <c r="U365">
        <f>IF(M365="","",IF(M365&lt;0,IF(U364="",1,U364+1),0))</f>
        <v/>
      </c>
    </row>
    <row r="366">
      <c r="A366" s="6">
        <f>IF(B366="","",ROW()-1)</f>
        <v/>
      </c>
      <c r="B366" s="15" t="n"/>
      <c r="C366" s="15" t="n"/>
      <c r="D366" s="15" t="n"/>
      <c r="E366" s="15" t="n"/>
      <c r="F366" s="15" t="n"/>
      <c r="G366" s="16" t="n"/>
      <c r="H366" s="16" t="n"/>
      <c r="I366" s="16" t="n"/>
      <c r="J366" s="15" t="n"/>
      <c r="K366" s="16" t="n"/>
      <c r="L366" s="17">
        <f>IF(OR(G366="",H366=""),"",ABS(G366-H366))</f>
        <v/>
      </c>
      <c r="M366" s="18">
        <f>IF(OR(K366="",L366="",L366=0),"",IF(D366="Short",(G366-K366)/L366,(K366-G366)/L366))</f>
        <v/>
      </c>
      <c r="N366" s="18">
        <f>IF(M366="","",SUM($M$2:M366))</f>
        <v/>
      </c>
      <c r="O366" s="19" t="n"/>
      <c r="P366" s="15" t="n"/>
      <c r="Q366" s="15" t="n"/>
      <c r="R366" s="15" t="n"/>
      <c r="S366">
        <f>IF(N366="","",MAX(0,MAX($N$2:N366)))</f>
        <v/>
      </c>
      <c r="T366">
        <f>IF(N366="","",S366-N366)</f>
        <v/>
      </c>
      <c r="U366">
        <f>IF(M366="","",IF(M366&lt;0,IF(U365="",1,U365+1),0))</f>
        <v/>
      </c>
    </row>
    <row r="367">
      <c r="A367" s="6">
        <f>IF(B367="","",ROW()-1)</f>
        <v/>
      </c>
      <c r="B367" s="15" t="n"/>
      <c r="C367" s="15" t="n"/>
      <c r="D367" s="15" t="n"/>
      <c r="E367" s="15" t="n"/>
      <c r="F367" s="15" t="n"/>
      <c r="G367" s="16" t="n"/>
      <c r="H367" s="16" t="n"/>
      <c r="I367" s="16" t="n"/>
      <c r="J367" s="15" t="n"/>
      <c r="K367" s="16" t="n"/>
      <c r="L367" s="17">
        <f>IF(OR(G367="",H367=""),"",ABS(G367-H367))</f>
        <v/>
      </c>
      <c r="M367" s="18">
        <f>IF(OR(K367="",L367="",L367=0),"",IF(D367="Short",(G367-K367)/L367,(K367-G367)/L367))</f>
        <v/>
      </c>
      <c r="N367" s="18">
        <f>IF(M367="","",SUM($M$2:M367))</f>
        <v/>
      </c>
      <c r="O367" s="19" t="n"/>
      <c r="P367" s="15" t="n"/>
      <c r="Q367" s="15" t="n"/>
      <c r="R367" s="15" t="n"/>
      <c r="S367">
        <f>IF(N367="","",MAX(0,MAX($N$2:N367)))</f>
        <v/>
      </c>
      <c r="T367">
        <f>IF(N367="","",S367-N367)</f>
        <v/>
      </c>
      <c r="U367">
        <f>IF(M367="","",IF(M367&lt;0,IF(U366="",1,U366+1),0))</f>
        <v/>
      </c>
    </row>
    <row r="368">
      <c r="A368" s="6">
        <f>IF(B368="","",ROW()-1)</f>
        <v/>
      </c>
      <c r="B368" s="15" t="n"/>
      <c r="C368" s="15" t="n"/>
      <c r="D368" s="15" t="n"/>
      <c r="E368" s="15" t="n"/>
      <c r="F368" s="15" t="n"/>
      <c r="G368" s="16" t="n"/>
      <c r="H368" s="16" t="n"/>
      <c r="I368" s="16" t="n"/>
      <c r="J368" s="15" t="n"/>
      <c r="K368" s="16" t="n"/>
      <c r="L368" s="17">
        <f>IF(OR(G368="",H368=""),"",ABS(G368-H368))</f>
        <v/>
      </c>
      <c r="M368" s="18">
        <f>IF(OR(K368="",L368="",L368=0),"",IF(D368="Short",(G368-K368)/L368,(K368-G368)/L368))</f>
        <v/>
      </c>
      <c r="N368" s="18">
        <f>IF(M368="","",SUM($M$2:M368))</f>
        <v/>
      </c>
      <c r="O368" s="19" t="n"/>
      <c r="P368" s="15" t="n"/>
      <c r="Q368" s="15" t="n"/>
      <c r="R368" s="15" t="n"/>
      <c r="S368">
        <f>IF(N368="","",MAX(0,MAX($N$2:N368)))</f>
        <v/>
      </c>
      <c r="T368">
        <f>IF(N368="","",S368-N368)</f>
        <v/>
      </c>
      <c r="U368">
        <f>IF(M368="","",IF(M368&lt;0,IF(U367="",1,U367+1),0))</f>
        <v/>
      </c>
    </row>
    <row r="369">
      <c r="A369" s="6">
        <f>IF(B369="","",ROW()-1)</f>
        <v/>
      </c>
      <c r="B369" s="15" t="n"/>
      <c r="C369" s="15" t="n"/>
      <c r="D369" s="15" t="n"/>
      <c r="E369" s="15" t="n"/>
      <c r="F369" s="15" t="n"/>
      <c r="G369" s="16" t="n"/>
      <c r="H369" s="16" t="n"/>
      <c r="I369" s="16" t="n"/>
      <c r="J369" s="15" t="n"/>
      <c r="K369" s="16" t="n"/>
      <c r="L369" s="17">
        <f>IF(OR(G369="",H369=""),"",ABS(G369-H369))</f>
        <v/>
      </c>
      <c r="M369" s="18">
        <f>IF(OR(K369="",L369="",L369=0),"",IF(D369="Short",(G369-K369)/L369,(K369-G369)/L369))</f>
        <v/>
      </c>
      <c r="N369" s="18">
        <f>IF(M369="","",SUM($M$2:M369))</f>
        <v/>
      </c>
      <c r="O369" s="19" t="n"/>
      <c r="P369" s="15" t="n"/>
      <c r="Q369" s="15" t="n"/>
      <c r="R369" s="15" t="n"/>
      <c r="S369">
        <f>IF(N369="","",MAX(0,MAX($N$2:N369)))</f>
        <v/>
      </c>
      <c r="T369">
        <f>IF(N369="","",S369-N369)</f>
        <v/>
      </c>
      <c r="U369">
        <f>IF(M369="","",IF(M369&lt;0,IF(U368="",1,U368+1),0))</f>
        <v/>
      </c>
    </row>
    <row r="370">
      <c r="A370" s="6">
        <f>IF(B370="","",ROW()-1)</f>
        <v/>
      </c>
      <c r="B370" s="15" t="n"/>
      <c r="C370" s="15" t="n"/>
      <c r="D370" s="15" t="n"/>
      <c r="E370" s="15" t="n"/>
      <c r="F370" s="15" t="n"/>
      <c r="G370" s="16" t="n"/>
      <c r="H370" s="16" t="n"/>
      <c r="I370" s="16" t="n"/>
      <c r="J370" s="15" t="n"/>
      <c r="K370" s="16" t="n"/>
      <c r="L370" s="17">
        <f>IF(OR(G370="",H370=""),"",ABS(G370-H370))</f>
        <v/>
      </c>
      <c r="M370" s="18">
        <f>IF(OR(K370="",L370="",L370=0),"",IF(D370="Short",(G370-K370)/L370,(K370-G370)/L370))</f>
        <v/>
      </c>
      <c r="N370" s="18">
        <f>IF(M370="","",SUM($M$2:M370))</f>
        <v/>
      </c>
      <c r="O370" s="19" t="n"/>
      <c r="P370" s="15" t="n"/>
      <c r="Q370" s="15" t="n"/>
      <c r="R370" s="15" t="n"/>
      <c r="S370">
        <f>IF(N370="","",MAX(0,MAX($N$2:N370)))</f>
        <v/>
      </c>
      <c r="T370">
        <f>IF(N370="","",S370-N370)</f>
        <v/>
      </c>
      <c r="U370">
        <f>IF(M370="","",IF(M370&lt;0,IF(U369="",1,U369+1),0))</f>
        <v/>
      </c>
    </row>
    <row r="371">
      <c r="A371" s="6">
        <f>IF(B371="","",ROW()-1)</f>
        <v/>
      </c>
      <c r="B371" s="15" t="n"/>
      <c r="C371" s="15" t="n"/>
      <c r="D371" s="15" t="n"/>
      <c r="E371" s="15" t="n"/>
      <c r="F371" s="15" t="n"/>
      <c r="G371" s="16" t="n"/>
      <c r="H371" s="16" t="n"/>
      <c r="I371" s="16" t="n"/>
      <c r="J371" s="15" t="n"/>
      <c r="K371" s="16" t="n"/>
      <c r="L371" s="17">
        <f>IF(OR(G371="",H371=""),"",ABS(G371-H371))</f>
        <v/>
      </c>
      <c r="M371" s="18">
        <f>IF(OR(K371="",L371="",L371=0),"",IF(D371="Short",(G371-K371)/L371,(K371-G371)/L371))</f>
        <v/>
      </c>
      <c r="N371" s="18">
        <f>IF(M371="","",SUM($M$2:M371))</f>
        <v/>
      </c>
      <c r="O371" s="19" t="n"/>
      <c r="P371" s="15" t="n"/>
      <c r="Q371" s="15" t="n"/>
      <c r="R371" s="15" t="n"/>
      <c r="S371">
        <f>IF(N371="","",MAX(0,MAX($N$2:N371)))</f>
        <v/>
      </c>
      <c r="T371">
        <f>IF(N371="","",S371-N371)</f>
        <v/>
      </c>
      <c r="U371">
        <f>IF(M371="","",IF(M371&lt;0,IF(U370="",1,U370+1),0))</f>
        <v/>
      </c>
    </row>
    <row r="372">
      <c r="A372" s="6">
        <f>IF(B372="","",ROW()-1)</f>
        <v/>
      </c>
      <c r="B372" s="15" t="n"/>
      <c r="C372" s="15" t="n"/>
      <c r="D372" s="15" t="n"/>
      <c r="E372" s="15" t="n"/>
      <c r="F372" s="15" t="n"/>
      <c r="G372" s="16" t="n"/>
      <c r="H372" s="16" t="n"/>
      <c r="I372" s="16" t="n"/>
      <c r="J372" s="15" t="n"/>
      <c r="K372" s="16" t="n"/>
      <c r="L372" s="17">
        <f>IF(OR(G372="",H372=""),"",ABS(G372-H372))</f>
        <v/>
      </c>
      <c r="M372" s="18">
        <f>IF(OR(K372="",L372="",L372=0),"",IF(D372="Short",(G372-K372)/L372,(K372-G372)/L372))</f>
        <v/>
      </c>
      <c r="N372" s="18">
        <f>IF(M372="","",SUM($M$2:M372))</f>
        <v/>
      </c>
      <c r="O372" s="19" t="n"/>
      <c r="P372" s="15" t="n"/>
      <c r="Q372" s="15" t="n"/>
      <c r="R372" s="15" t="n"/>
      <c r="S372">
        <f>IF(N372="","",MAX(0,MAX($N$2:N372)))</f>
        <v/>
      </c>
      <c r="T372">
        <f>IF(N372="","",S372-N372)</f>
        <v/>
      </c>
      <c r="U372">
        <f>IF(M372="","",IF(M372&lt;0,IF(U371="",1,U371+1),0))</f>
        <v/>
      </c>
    </row>
    <row r="373">
      <c r="A373" s="6">
        <f>IF(B373="","",ROW()-1)</f>
        <v/>
      </c>
      <c r="B373" s="15" t="n"/>
      <c r="C373" s="15" t="n"/>
      <c r="D373" s="15" t="n"/>
      <c r="E373" s="15" t="n"/>
      <c r="F373" s="15" t="n"/>
      <c r="G373" s="16" t="n"/>
      <c r="H373" s="16" t="n"/>
      <c r="I373" s="16" t="n"/>
      <c r="J373" s="15" t="n"/>
      <c r="K373" s="16" t="n"/>
      <c r="L373" s="17">
        <f>IF(OR(G373="",H373=""),"",ABS(G373-H373))</f>
        <v/>
      </c>
      <c r="M373" s="18">
        <f>IF(OR(K373="",L373="",L373=0),"",IF(D373="Short",(G373-K373)/L373,(K373-G373)/L373))</f>
        <v/>
      </c>
      <c r="N373" s="18">
        <f>IF(M373="","",SUM($M$2:M373))</f>
        <v/>
      </c>
      <c r="O373" s="19" t="n"/>
      <c r="P373" s="15" t="n"/>
      <c r="Q373" s="15" t="n"/>
      <c r="R373" s="15" t="n"/>
      <c r="S373">
        <f>IF(N373="","",MAX(0,MAX($N$2:N373)))</f>
        <v/>
      </c>
      <c r="T373">
        <f>IF(N373="","",S373-N373)</f>
        <v/>
      </c>
      <c r="U373">
        <f>IF(M373="","",IF(M373&lt;0,IF(U372="",1,U372+1),0))</f>
        <v/>
      </c>
    </row>
    <row r="374">
      <c r="A374" s="6">
        <f>IF(B374="","",ROW()-1)</f>
        <v/>
      </c>
      <c r="B374" s="15" t="n"/>
      <c r="C374" s="15" t="n"/>
      <c r="D374" s="15" t="n"/>
      <c r="E374" s="15" t="n"/>
      <c r="F374" s="15" t="n"/>
      <c r="G374" s="16" t="n"/>
      <c r="H374" s="16" t="n"/>
      <c r="I374" s="16" t="n"/>
      <c r="J374" s="15" t="n"/>
      <c r="K374" s="16" t="n"/>
      <c r="L374" s="17">
        <f>IF(OR(G374="",H374=""),"",ABS(G374-H374))</f>
        <v/>
      </c>
      <c r="M374" s="18">
        <f>IF(OR(K374="",L374="",L374=0),"",IF(D374="Short",(G374-K374)/L374,(K374-G374)/L374))</f>
        <v/>
      </c>
      <c r="N374" s="18">
        <f>IF(M374="","",SUM($M$2:M374))</f>
        <v/>
      </c>
      <c r="O374" s="19" t="n"/>
      <c r="P374" s="15" t="n"/>
      <c r="Q374" s="15" t="n"/>
      <c r="R374" s="15" t="n"/>
      <c r="S374">
        <f>IF(N374="","",MAX(0,MAX($N$2:N374)))</f>
        <v/>
      </c>
      <c r="T374">
        <f>IF(N374="","",S374-N374)</f>
        <v/>
      </c>
      <c r="U374">
        <f>IF(M374="","",IF(M374&lt;0,IF(U373="",1,U373+1),0))</f>
        <v/>
      </c>
    </row>
    <row r="375">
      <c r="A375" s="6">
        <f>IF(B375="","",ROW()-1)</f>
        <v/>
      </c>
      <c r="B375" s="15" t="n"/>
      <c r="C375" s="15" t="n"/>
      <c r="D375" s="15" t="n"/>
      <c r="E375" s="15" t="n"/>
      <c r="F375" s="15" t="n"/>
      <c r="G375" s="16" t="n"/>
      <c r="H375" s="16" t="n"/>
      <c r="I375" s="16" t="n"/>
      <c r="J375" s="15" t="n"/>
      <c r="K375" s="16" t="n"/>
      <c r="L375" s="17">
        <f>IF(OR(G375="",H375=""),"",ABS(G375-H375))</f>
        <v/>
      </c>
      <c r="M375" s="18">
        <f>IF(OR(K375="",L375="",L375=0),"",IF(D375="Short",(G375-K375)/L375,(K375-G375)/L375))</f>
        <v/>
      </c>
      <c r="N375" s="18">
        <f>IF(M375="","",SUM($M$2:M375))</f>
        <v/>
      </c>
      <c r="O375" s="19" t="n"/>
      <c r="P375" s="15" t="n"/>
      <c r="Q375" s="15" t="n"/>
      <c r="R375" s="15" t="n"/>
      <c r="S375">
        <f>IF(N375="","",MAX(0,MAX($N$2:N375)))</f>
        <v/>
      </c>
      <c r="T375">
        <f>IF(N375="","",S375-N375)</f>
        <v/>
      </c>
      <c r="U375">
        <f>IF(M375="","",IF(M375&lt;0,IF(U374="",1,U374+1),0))</f>
        <v/>
      </c>
    </row>
    <row r="376">
      <c r="A376" s="6">
        <f>IF(B376="","",ROW()-1)</f>
        <v/>
      </c>
      <c r="B376" s="15" t="n"/>
      <c r="C376" s="15" t="n"/>
      <c r="D376" s="15" t="n"/>
      <c r="E376" s="15" t="n"/>
      <c r="F376" s="15" t="n"/>
      <c r="G376" s="16" t="n"/>
      <c r="H376" s="16" t="n"/>
      <c r="I376" s="16" t="n"/>
      <c r="J376" s="15" t="n"/>
      <c r="K376" s="16" t="n"/>
      <c r="L376" s="17">
        <f>IF(OR(G376="",H376=""),"",ABS(G376-H376))</f>
        <v/>
      </c>
      <c r="M376" s="18">
        <f>IF(OR(K376="",L376="",L376=0),"",IF(D376="Short",(G376-K376)/L376,(K376-G376)/L376))</f>
        <v/>
      </c>
      <c r="N376" s="18">
        <f>IF(M376="","",SUM($M$2:M376))</f>
        <v/>
      </c>
      <c r="O376" s="19" t="n"/>
      <c r="P376" s="15" t="n"/>
      <c r="Q376" s="15" t="n"/>
      <c r="R376" s="15" t="n"/>
      <c r="S376">
        <f>IF(N376="","",MAX(0,MAX($N$2:N376)))</f>
        <v/>
      </c>
      <c r="T376">
        <f>IF(N376="","",S376-N376)</f>
        <v/>
      </c>
      <c r="U376">
        <f>IF(M376="","",IF(M376&lt;0,IF(U375="",1,U375+1),0))</f>
        <v/>
      </c>
    </row>
    <row r="377">
      <c r="A377" s="6">
        <f>IF(B377="","",ROW()-1)</f>
        <v/>
      </c>
      <c r="B377" s="15" t="n"/>
      <c r="C377" s="15" t="n"/>
      <c r="D377" s="15" t="n"/>
      <c r="E377" s="15" t="n"/>
      <c r="F377" s="15" t="n"/>
      <c r="G377" s="16" t="n"/>
      <c r="H377" s="16" t="n"/>
      <c r="I377" s="16" t="n"/>
      <c r="J377" s="15" t="n"/>
      <c r="K377" s="16" t="n"/>
      <c r="L377" s="17">
        <f>IF(OR(G377="",H377=""),"",ABS(G377-H377))</f>
        <v/>
      </c>
      <c r="M377" s="18">
        <f>IF(OR(K377="",L377="",L377=0),"",IF(D377="Short",(G377-K377)/L377,(K377-G377)/L377))</f>
        <v/>
      </c>
      <c r="N377" s="18">
        <f>IF(M377="","",SUM($M$2:M377))</f>
        <v/>
      </c>
      <c r="O377" s="19" t="n"/>
      <c r="P377" s="15" t="n"/>
      <c r="Q377" s="15" t="n"/>
      <c r="R377" s="15" t="n"/>
      <c r="S377">
        <f>IF(N377="","",MAX(0,MAX($N$2:N377)))</f>
        <v/>
      </c>
      <c r="T377">
        <f>IF(N377="","",S377-N377)</f>
        <v/>
      </c>
      <c r="U377">
        <f>IF(M377="","",IF(M377&lt;0,IF(U376="",1,U376+1),0))</f>
        <v/>
      </c>
    </row>
    <row r="378">
      <c r="A378" s="6">
        <f>IF(B378="","",ROW()-1)</f>
        <v/>
      </c>
      <c r="B378" s="15" t="n"/>
      <c r="C378" s="15" t="n"/>
      <c r="D378" s="15" t="n"/>
      <c r="E378" s="15" t="n"/>
      <c r="F378" s="15" t="n"/>
      <c r="G378" s="16" t="n"/>
      <c r="H378" s="16" t="n"/>
      <c r="I378" s="16" t="n"/>
      <c r="J378" s="15" t="n"/>
      <c r="K378" s="16" t="n"/>
      <c r="L378" s="17">
        <f>IF(OR(G378="",H378=""),"",ABS(G378-H378))</f>
        <v/>
      </c>
      <c r="M378" s="18">
        <f>IF(OR(K378="",L378="",L378=0),"",IF(D378="Short",(G378-K378)/L378,(K378-G378)/L378))</f>
        <v/>
      </c>
      <c r="N378" s="18">
        <f>IF(M378="","",SUM($M$2:M378))</f>
        <v/>
      </c>
      <c r="O378" s="19" t="n"/>
      <c r="P378" s="15" t="n"/>
      <c r="Q378" s="15" t="n"/>
      <c r="R378" s="15" t="n"/>
      <c r="S378">
        <f>IF(N378="","",MAX(0,MAX($N$2:N378)))</f>
        <v/>
      </c>
      <c r="T378">
        <f>IF(N378="","",S378-N378)</f>
        <v/>
      </c>
      <c r="U378">
        <f>IF(M378="","",IF(M378&lt;0,IF(U377="",1,U377+1),0))</f>
        <v/>
      </c>
    </row>
    <row r="379">
      <c r="A379" s="6">
        <f>IF(B379="","",ROW()-1)</f>
        <v/>
      </c>
      <c r="B379" s="15" t="n"/>
      <c r="C379" s="15" t="n"/>
      <c r="D379" s="15" t="n"/>
      <c r="E379" s="15" t="n"/>
      <c r="F379" s="15" t="n"/>
      <c r="G379" s="16" t="n"/>
      <c r="H379" s="16" t="n"/>
      <c r="I379" s="16" t="n"/>
      <c r="J379" s="15" t="n"/>
      <c r="K379" s="16" t="n"/>
      <c r="L379" s="17">
        <f>IF(OR(G379="",H379=""),"",ABS(G379-H379))</f>
        <v/>
      </c>
      <c r="M379" s="18">
        <f>IF(OR(K379="",L379="",L379=0),"",IF(D379="Short",(G379-K379)/L379,(K379-G379)/L379))</f>
        <v/>
      </c>
      <c r="N379" s="18">
        <f>IF(M379="","",SUM($M$2:M379))</f>
        <v/>
      </c>
      <c r="O379" s="19" t="n"/>
      <c r="P379" s="15" t="n"/>
      <c r="Q379" s="15" t="n"/>
      <c r="R379" s="15" t="n"/>
      <c r="S379">
        <f>IF(N379="","",MAX(0,MAX($N$2:N379)))</f>
        <v/>
      </c>
      <c r="T379">
        <f>IF(N379="","",S379-N379)</f>
        <v/>
      </c>
      <c r="U379">
        <f>IF(M379="","",IF(M379&lt;0,IF(U378="",1,U378+1),0))</f>
        <v/>
      </c>
    </row>
    <row r="380">
      <c r="A380" s="6">
        <f>IF(B380="","",ROW()-1)</f>
        <v/>
      </c>
      <c r="B380" s="15" t="n"/>
      <c r="C380" s="15" t="n"/>
      <c r="D380" s="15" t="n"/>
      <c r="E380" s="15" t="n"/>
      <c r="F380" s="15" t="n"/>
      <c r="G380" s="16" t="n"/>
      <c r="H380" s="16" t="n"/>
      <c r="I380" s="16" t="n"/>
      <c r="J380" s="15" t="n"/>
      <c r="K380" s="16" t="n"/>
      <c r="L380" s="17">
        <f>IF(OR(G380="",H380=""),"",ABS(G380-H380))</f>
        <v/>
      </c>
      <c r="M380" s="18">
        <f>IF(OR(K380="",L380="",L380=0),"",IF(D380="Short",(G380-K380)/L380,(K380-G380)/L380))</f>
        <v/>
      </c>
      <c r="N380" s="18">
        <f>IF(M380="","",SUM($M$2:M380))</f>
        <v/>
      </c>
      <c r="O380" s="19" t="n"/>
      <c r="P380" s="15" t="n"/>
      <c r="Q380" s="15" t="n"/>
      <c r="R380" s="15" t="n"/>
      <c r="S380">
        <f>IF(N380="","",MAX(0,MAX($N$2:N380)))</f>
        <v/>
      </c>
      <c r="T380">
        <f>IF(N380="","",S380-N380)</f>
        <v/>
      </c>
      <c r="U380">
        <f>IF(M380="","",IF(M380&lt;0,IF(U379="",1,U379+1),0))</f>
        <v/>
      </c>
    </row>
    <row r="381">
      <c r="A381" s="6">
        <f>IF(B381="","",ROW()-1)</f>
        <v/>
      </c>
      <c r="B381" s="15" t="n"/>
      <c r="C381" s="15" t="n"/>
      <c r="D381" s="15" t="n"/>
      <c r="E381" s="15" t="n"/>
      <c r="F381" s="15" t="n"/>
      <c r="G381" s="16" t="n"/>
      <c r="H381" s="16" t="n"/>
      <c r="I381" s="16" t="n"/>
      <c r="J381" s="15" t="n"/>
      <c r="K381" s="16" t="n"/>
      <c r="L381" s="17">
        <f>IF(OR(G381="",H381=""),"",ABS(G381-H381))</f>
        <v/>
      </c>
      <c r="M381" s="18">
        <f>IF(OR(K381="",L381="",L381=0),"",IF(D381="Short",(G381-K381)/L381,(K381-G381)/L381))</f>
        <v/>
      </c>
      <c r="N381" s="18">
        <f>IF(M381="","",SUM($M$2:M381))</f>
        <v/>
      </c>
      <c r="O381" s="19" t="n"/>
      <c r="P381" s="15" t="n"/>
      <c r="Q381" s="15" t="n"/>
      <c r="R381" s="15" t="n"/>
      <c r="S381">
        <f>IF(N381="","",MAX(0,MAX($N$2:N381)))</f>
        <v/>
      </c>
      <c r="T381">
        <f>IF(N381="","",S381-N381)</f>
        <v/>
      </c>
      <c r="U381">
        <f>IF(M381="","",IF(M381&lt;0,IF(U380="",1,U380+1),0))</f>
        <v/>
      </c>
    </row>
    <row r="382">
      <c r="A382" s="6">
        <f>IF(B382="","",ROW()-1)</f>
        <v/>
      </c>
      <c r="B382" s="15" t="n"/>
      <c r="C382" s="15" t="n"/>
      <c r="D382" s="15" t="n"/>
      <c r="E382" s="15" t="n"/>
      <c r="F382" s="15" t="n"/>
      <c r="G382" s="16" t="n"/>
      <c r="H382" s="16" t="n"/>
      <c r="I382" s="16" t="n"/>
      <c r="J382" s="15" t="n"/>
      <c r="K382" s="16" t="n"/>
      <c r="L382" s="17">
        <f>IF(OR(G382="",H382=""),"",ABS(G382-H382))</f>
        <v/>
      </c>
      <c r="M382" s="18">
        <f>IF(OR(K382="",L382="",L382=0),"",IF(D382="Short",(G382-K382)/L382,(K382-G382)/L382))</f>
        <v/>
      </c>
      <c r="N382" s="18">
        <f>IF(M382="","",SUM($M$2:M382))</f>
        <v/>
      </c>
      <c r="O382" s="19" t="n"/>
      <c r="P382" s="15" t="n"/>
      <c r="Q382" s="15" t="n"/>
      <c r="R382" s="15" t="n"/>
      <c r="S382">
        <f>IF(N382="","",MAX(0,MAX($N$2:N382)))</f>
        <v/>
      </c>
      <c r="T382">
        <f>IF(N382="","",S382-N382)</f>
        <v/>
      </c>
      <c r="U382">
        <f>IF(M382="","",IF(M382&lt;0,IF(U381="",1,U381+1),0))</f>
        <v/>
      </c>
    </row>
    <row r="383">
      <c r="A383" s="6">
        <f>IF(B383="","",ROW()-1)</f>
        <v/>
      </c>
      <c r="B383" s="15" t="n"/>
      <c r="C383" s="15" t="n"/>
      <c r="D383" s="15" t="n"/>
      <c r="E383" s="15" t="n"/>
      <c r="F383" s="15" t="n"/>
      <c r="G383" s="16" t="n"/>
      <c r="H383" s="16" t="n"/>
      <c r="I383" s="16" t="n"/>
      <c r="J383" s="15" t="n"/>
      <c r="K383" s="16" t="n"/>
      <c r="L383" s="17">
        <f>IF(OR(G383="",H383=""),"",ABS(G383-H383))</f>
        <v/>
      </c>
      <c r="M383" s="18">
        <f>IF(OR(K383="",L383="",L383=0),"",IF(D383="Short",(G383-K383)/L383,(K383-G383)/L383))</f>
        <v/>
      </c>
      <c r="N383" s="18">
        <f>IF(M383="","",SUM($M$2:M383))</f>
        <v/>
      </c>
      <c r="O383" s="19" t="n"/>
      <c r="P383" s="15" t="n"/>
      <c r="Q383" s="15" t="n"/>
      <c r="R383" s="15" t="n"/>
      <c r="S383">
        <f>IF(N383="","",MAX(0,MAX($N$2:N383)))</f>
        <v/>
      </c>
      <c r="T383">
        <f>IF(N383="","",S383-N383)</f>
        <v/>
      </c>
      <c r="U383">
        <f>IF(M383="","",IF(M383&lt;0,IF(U382="",1,U382+1),0))</f>
        <v/>
      </c>
    </row>
    <row r="384">
      <c r="A384" s="6">
        <f>IF(B384="","",ROW()-1)</f>
        <v/>
      </c>
      <c r="B384" s="15" t="n"/>
      <c r="C384" s="15" t="n"/>
      <c r="D384" s="15" t="n"/>
      <c r="E384" s="15" t="n"/>
      <c r="F384" s="15" t="n"/>
      <c r="G384" s="16" t="n"/>
      <c r="H384" s="16" t="n"/>
      <c r="I384" s="16" t="n"/>
      <c r="J384" s="15" t="n"/>
      <c r="K384" s="16" t="n"/>
      <c r="L384" s="17">
        <f>IF(OR(G384="",H384=""),"",ABS(G384-H384))</f>
        <v/>
      </c>
      <c r="M384" s="18">
        <f>IF(OR(K384="",L384="",L384=0),"",IF(D384="Short",(G384-K384)/L384,(K384-G384)/L384))</f>
        <v/>
      </c>
      <c r="N384" s="18">
        <f>IF(M384="","",SUM($M$2:M384))</f>
        <v/>
      </c>
      <c r="O384" s="19" t="n"/>
      <c r="P384" s="15" t="n"/>
      <c r="Q384" s="15" t="n"/>
      <c r="R384" s="15" t="n"/>
      <c r="S384">
        <f>IF(N384="","",MAX(0,MAX($N$2:N384)))</f>
        <v/>
      </c>
      <c r="T384">
        <f>IF(N384="","",S384-N384)</f>
        <v/>
      </c>
      <c r="U384">
        <f>IF(M384="","",IF(M384&lt;0,IF(U383="",1,U383+1),0))</f>
        <v/>
      </c>
    </row>
    <row r="385">
      <c r="A385" s="6">
        <f>IF(B385="","",ROW()-1)</f>
        <v/>
      </c>
      <c r="B385" s="15" t="n"/>
      <c r="C385" s="15" t="n"/>
      <c r="D385" s="15" t="n"/>
      <c r="E385" s="15" t="n"/>
      <c r="F385" s="15" t="n"/>
      <c r="G385" s="16" t="n"/>
      <c r="H385" s="16" t="n"/>
      <c r="I385" s="16" t="n"/>
      <c r="J385" s="15" t="n"/>
      <c r="K385" s="16" t="n"/>
      <c r="L385" s="17">
        <f>IF(OR(G385="",H385=""),"",ABS(G385-H385))</f>
        <v/>
      </c>
      <c r="M385" s="18">
        <f>IF(OR(K385="",L385="",L385=0),"",IF(D385="Short",(G385-K385)/L385,(K385-G385)/L385))</f>
        <v/>
      </c>
      <c r="N385" s="18">
        <f>IF(M385="","",SUM($M$2:M385))</f>
        <v/>
      </c>
      <c r="O385" s="19" t="n"/>
      <c r="P385" s="15" t="n"/>
      <c r="Q385" s="15" t="n"/>
      <c r="R385" s="15" t="n"/>
      <c r="S385">
        <f>IF(N385="","",MAX(0,MAX($N$2:N385)))</f>
        <v/>
      </c>
      <c r="T385">
        <f>IF(N385="","",S385-N385)</f>
        <v/>
      </c>
      <c r="U385">
        <f>IF(M385="","",IF(M385&lt;0,IF(U384="",1,U384+1),0))</f>
        <v/>
      </c>
    </row>
    <row r="386">
      <c r="A386" s="6">
        <f>IF(B386="","",ROW()-1)</f>
        <v/>
      </c>
      <c r="B386" s="15" t="n"/>
      <c r="C386" s="15" t="n"/>
      <c r="D386" s="15" t="n"/>
      <c r="E386" s="15" t="n"/>
      <c r="F386" s="15" t="n"/>
      <c r="G386" s="16" t="n"/>
      <c r="H386" s="16" t="n"/>
      <c r="I386" s="16" t="n"/>
      <c r="J386" s="15" t="n"/>
      <c r="K386" s="16" t="n"/>
      <c r="L386" s="17">
        <f>IF(OR(G386="",H386=""),"",ABS(G386-H386))</f>
        <v/>
      </c>
      <c r="M386" s="18">
        <f>IF(OR(K386="",L386="",L386=0),"",IF(D386="Short",(G386-K386)/L386,(K386-G386)/L386))</f>
        <v/>
      </c>
      <c r="N386" s="18">
        <f>IF(M386="","",SUM($M$2:M386))</f>
        <v/>
      </c>
      <c r="O386" s="19" t="n"/>
      <c r="P386" s="15" t="n"/>
      <c r="Q386" s="15" t="n"/>
      <c r="R386" s="15" t="n"/>
      <c r="S386">
        <f>IF(N386="","",MAX(0,MAX($N$2:N386)))</f>
        <v/>
      </c>
      <c r="T386">
        <f>IF(N386="","",S386-N386)</f>
        <v/>
      </c>
      <c r="U386">
        <f>IF(M386="","",IF(M386&lt;0,IF(U385="",1,U385+1),0))</f>
        <v/>
      </c>
    </row>
    <row r="387">
      <c r="A387" s="6">
        <f>IF(B387="","",ROW()-1)</f>
        <v/>
      </c>
      <c r="B387" s="15" t="n"/>
      <c r="C387" s="15" t="n"/>
      <c r="D387" s="15" t="n"/>
      <c r="E387" s="15" t="n"/>
      <c r="F387" s="15" t="n"/>
      <c r="G387" s="16" t="n"/>
      <c r="H387" s="16" t="n"/>
      <c r="I387" s="16" t="n"/>
      <c r="J387" s="15" t="n"/>
      <c r="K387" s="16" t="n"/>
      <c r="L387" s="17">
        <f>IF(OR(G387="",H387=""),"",ABS(G387-H387))</f>
        <v/>
      </c>
      <c r="M387" s="18">
        <f>IF(OR(K387="",L387="",L387=0),"",IF(D387="Short",(G387-K387)/L387,(K387-G387)/L387))</f>
        <v/>
      </c>
      <c r="N387" s="18">
        <f>IF(M387="","",SUM($M$2:M387))</f>
        <v/>
      </c>
      <c r="O387" s="19" t="n"/>
      <c r="P387" s="15" t="n"/>
      <c r="Q387" s="15" t="n"/>
      <c r="R387" s="15" t="n"/>
      <c r="S387">
        <f>IF(N387="","",MAX(0,MAX($N$2:N387)))</f>
        <v/>
      </c>
      <c r="T387">
        <f>IF(N387="","",S387-N387)</f>
        <v/>
      </c>
      <c r="U387">
        <f>IF(M387="","",IF(M387&lt;0,IF(U386="",1,U386+1),0))</f>
        <v/>
      </c>
    </row>
    <row r="388">
      <c r="A388" s="6">
        <f>IF(B388="","",ROW()-1)</f>
        <v/>
      </c>
      <c r="B388" s="15" t="n"/>
      <c r="C388" s="15" t="n"/>
      <c r="D388" s="15" t="n"/>
      <c r="E388" s="15" t="n"/>
      <c r="F388" s="15" t="n"/>
      <c r="G388" s="16" t="n"/>
      <c r="H388" s="16" t="n"/>
      <c r="I388" s="16" t="n"/>
      <c r="J388" s="15" t="n"/>
      <c r="K388" s="16" t="n"/>
      <c r="L388" s="17">
        <f>IF(OR(G388="",H388=""),"",ABS(G388-H388))</f>
        <v/>
      </c>
      <c r="M388" s="18">
        <f>IF(OR(K388="",L388="",L388=0),"",IF(D388="Short",(G388-K388)/L388,(K388-G388)/L388))</f>
        <v/>
      </c>
      <c r="N388" s="18">
        <f>IF(M388="","",SUM($M$2:M388))</f>
        <v/>
      </c>
      <c r="O388" s="19" t="n"/>
      <c r="P388" s="15" t="n"/>
      <c r="Q388" s="15" t="n"/>
      <c r="R388" s="15" t="n"/>
      <c r="S388">
        <f>IF(N388="","",MAX(0,MAX($N$2:N388)))</f>
        <v/>
      </c>
      <c r="T388">
        <f>IF(N388="","",S388-N388)</f>
        <v/>
      </c>
      <c r="U388">
        <f>IF(M388="","",IF(M388&lt;0,IF(U387="",1,U387+1),0))</f>
        <v/>
      </c>
    </row>
    <row r="389">
      <c r="A389" s="6">
        <f>IF(B389="","",ROW()-1)</f>
        <v/>
      </c>
      <c r="B389" s="15" t="n"/>
      <c r="C389" s="15" t="n"/>
      <c r="D389" s="15" t="n"/>
      <c r="E389" s="15" t="n"/>
      <c r="F389" s="15" t="n"/>
      <c r="G389" s="16" t="n"/>
      <c r="H389" s="16" t="n"/>
      <c r="I389" s="16" t="n"/>
      <c r="J389" s="15" t="n"/>
      <c r="K389" s="16" t="n"/>
      <c r="L389" s="17">
        <f>IF(OR(G389="",H389=""),"",ABS(G389-H389))</f>
        <v/>
      </c>
      <c r="M389" s="18">
        <f>IF(OR(K389="",L389="",L389=0),"",IF(D389="Short",(G389-K389)/L389,(K389-G389)/L389))</f>
        <v/>
      </c>
      <c r="N389" s="18">
        <f>IF(M389="","",SUM($M$2:M389))</f>
        <v/>
      </c>
      <c r="O389" s="19" t="n"/>
      <c r="P389" s="15" t="n"/>
      <c r="Q389" s="15" t="n"/>
      <c r="R389" s="15" t="n"/>
      <c r="S389">
        <f>IF(N389="","",MAX(0,MAX($N$2:N389)))</f>
        <v/>
      </c>
      <c r="T389">
        <f>IF(N389="","",S389-N389)</f>
        <v/>
      </c>
      <c r="U389">
        <f>IF(M389="","",IF(M389&lt;0,IF(U388="",1,U388+1),0))</f>
        <v/>
      </c>
    </row>
    <row r="390">
      <c r="A390" s="6">
        <f>IF(B390="","",ROW()-1)</f>
        <v/>
      </c>
      <c r="B390" s="15" t="n"/>
      <c r="C390" s="15" t="n"/>
      <c r="D390" s="15" t="n"/>
      <c r="E390" s="15" t="n"/>
      <c r="F390" s="15" t="n"/>
      <c r="G390" s="16" t="n"/>
      <c r="H390" s="16" t="n"/>
      <c r="I390" s="16" t="n"/>
      <c r="J390" s="15" t="n"/>
      <c r="K390" s="16" t="n"/>
      <c r="L390" s="17">
        <f>IF(OR(G390="",H390=""),"",ABS(G390-H390))</f>
        <v/>
      </c>
      <c r="M390" s="18">
        <f>IF(OR(K390="",L390="",L390=0),"",IF(D390="Short",(G390-K390)/L390,(K390-G390)/L390))</f>
        <v/>
      </c>
      <c r="N390" s="18">
        <f>IF(M390="","",SUM($M$2:M390))</f>
        <v/>
      </c>
      <c r="O390" s="19" t="n"/>
      <c r="P390" s="15" t="n"/>
      <c r="Q390" s="15" t="n"/>
      <c r="R390" s="15" t="n"/>
      <c r="S390">
        <f>IF(N390="","",MAX(0,MAX($N$2:N390)))</f>
        <v/>
      </c>
      <c r="T390">
        <f>IF(N390="","",S390-N390)</f>
        <v/>
      </c>
      <c r="U390">
        <f>IF(M390="","",IF(M390&lt;0,IF(U389="",1,U389+1),0))</f>
        <v/>
      </c>
    </row>
    <row r="391">
      <c r="A391" s="6">
        <f>IF(B391="","",ROW()-1)</f>
        <v/>
      </c>
      <c r="B391" s="15" t="n"/>
      <c r="C391" s="15" t="n"/>
      <c r="D391" s="15" t="n"/>
      <c r="E391" s="15" t="n"/>
      <c r="F391" s="15" t="n"/>
      <c r="G391" s="16" t="n"/>
      <c r="H391" s="16" t="n"/>
      <c r="I391" s="16" t="n"/>
      <c r="J391" s="15" t="n"/>
      <c r="K391" s="16" t="n"/>
      <c r="L391" s="17">
        <f>IF(OR(G391="",H391=""),"",ABS(G391-H391))</f>
        <v/>
      </c>
      <c r="M391" s="18">
        <f>IF(OR(K391="",L391="",L391=0),"",IF(D391="Short",(G391-K391)/L391,(K391-G391)/L391))</f>
        <v/>
      </c>
      <c r="N391" s="18">
        <f>IF(M391="","",SUM($M$2:M391))</f>
        <v/>
      </c>
      <c r="O391" s="19" t="n"/>
      <c r="P391" s="15" t="n"/>
      <c r="Q391" s="15" t="n"/>
      <c r="R391" s="15" t="n"/>
      <c r="S391">
        <f>IF(N391="","",MAX(0,MAX($N$2:N391)))</f>
        <v/>
      </c>
      <c r="T391">
        <f>IF(N391="","",S391-N391)</f>
        <v/>
      </c>
      <c r="U391">
        <f>IF(M391="","",IF(M391&lt;0,IF(U390="",1,U390+1),0))</f>
        <v/>
      </c>
    </row>
    <row r="392">
      <c r="A392" s="6">
        <f>IF(B392="","",ROW()-1)</f>
        <v/>
      </c>
      <c r="B392" s="15" t="n"/>
      <c r="C392" s="15" t="n"/>
      <c r="D392" s="15" t="n"/>
      <c r="E392" s="15" t="n"/>
      <c r="F392" s="15" t="n"/>
      <c r="G392" s="16" t="n"/>
      <c r="H392" s="16" t="n"/>
      <c r="I392" s="16" t="n"/>
      <c r="J392" s="15" t="n"/>
      <c r="K392" s="16" t="n"/>
      <c r="L392" s="17">
        <f>IF(OR(G392="",H392=""),"",ABS(G392-H392))</f>
        <v/>
      </c>
      <c r="M392" s="18">
        <f>IF(OR(K392="",L392="",L392=0),"",IF(D392="Short",(G392-K392)/L392,(K392-G392)/L392))</f>
        <v/>
      </c>
      <c r="N392" s="18">
        <f>IF(M392="","",SUM($M$2:M392))</f>
        <v/>
      </c>
      <c r="O392" s="19" t="n"/>
      <c r="P392" s="15" t="n"/>
      <c r="Q392" s="15" t="n"/>
      <c r="R392" s="15" t="n"/>
      <c r="S392">
        <f>IF(N392="","",MAX(0,MAX($N$2:N392)))</f>
        <v/>
      </c>
      <c r="T392">
        <f>IF(N392="","",S392-N392)</f>
        <v/>
      </c>
      <c r="U392">
        <f>IF(M392="","",IF(M392&lt;0,IF(U391="",1,U391+1),0))</f>
        <v/>
      </c>
    </row>
    <row r="393">
      <c r="A393" s="6">
        <f>IF(B393="","",ROW()-1)</f>
        <v/>
      </c>
      <c r="B393" s="15" t="n"/>
      <c r="C393" s="15" t="n"/>
      <c r="D393" s="15" t="n"/>
      <c r="E393" s="15" t="n"/>
      <c r="F393" s="15" t="n"/>
      <c r="G393" s="16" t="n"/>
      <c r="H393" s="16" t="n"/>
      <c r="I393" s="16" t="n"/>
      <c r="J393" s="15" t="n"/>
      <c r="K393" s="16" t="n"/>
      <c r="L393" s="17">
        <f>IF(OR(G393="",H393=""),"",ABS(G393-H393))</f>
        <v/>
      </c>
      <c r="M393" s="18">
        <f>IF(OR(K393="",L393="",L393=0),"",IF(D393="Short",(G393-K393)/L393,(K393-G393)/L393))</f>
        <v/>
      </c>
      <c r="N393" s="18">
        <f>IF(M393="","",SUM($M$2:M393))</f>
        <v/>
      </c>
      <c r="O393" s="19" t="n"/>
      <c r="P393" s="15" t="n"/>
      <c r="Q393" s="15" t="n"/>
      <c r="R393" s="15" t="n"/>
      <c r="S393">
        <f>IF(N393="","",MAX(0,MAX($N$2:N393)))</f>
        <v/>
      </c>
      <c r="T393">
        <f>IF(N393="","",S393-N393)</f>
        <v/>
      </c>
      <c r="U393">
        <f>IF(M393="","",IF(M393&lt;0,IF(U392="",1,U392+1),0))</f>
        <v/>
      </c>
    </row>
    <row r="394">
      <c r="A394" s="6">
        <f>IF(B394="","",ROW()-1)</f>
        <v/>
      </c>
      <c r="B394" s="15" t="n"/>
      <c r="C394" s="15" t="n"/>
      <c r="D394" s="15" t="n"/>
      <c r="E394" s="15" t="n"/>
      <c r="F394" s="15" t="n"/>
      <c r="G394" s="16" t="n"/>
      <c r="H394" s="16" t="n"/>
      <c r="I394" s="16" t="n"/>
      <c r="J394" s="15" t="n"/>
      <c r="K394" s="16" t="n"/>
      <c r="L394" s="17">
        <f>IF(OR(G394="",H394=""),"",ABS(G394-H394))</f>
        <v/>
      </c>
      <c r="M394" s="18">
        <f>IF(OR(K394="",L394="",L394=0),"",IF(D394="Short",(G394-K394)/L394,(K394-G394)/L394))</f>
        <v/>
      </c>
      <c r="N394" s="18">
        <f>IF(M394="","",SUM($M$2:M394))</f>
        <v/>
      </c>
      <c r="O394" s="19" t="n"/>
      <c r="P394" s="15" t="n"/>
      <c r="Q394" s="15" t="n"/>
      <c r="R394" s="15" t="n"/>
      <c r="S394">
        <f>IF(N394="","",MAX(0,MAX($N$2:N394)))</f>
        <v/>
      </c>
      <c r="T394">
        <f>IF(N394="","",S394-N394)</f>
        <v/>
      </c>
      <c r="U394">
        <f>IF(M394="","",IF(M394&lt;0,IF(U393="",1,U393+1),0))</f>
        <v/>
      </c>
    </row>
    <row r="395">
      <c r="A395" s="6">
        <f>IF(B395="","",ROW()-1)</f>
        <v/>
      </c>
      <c r="B395" s="15" t="n"/>
      <c r="C395" s="15" t="n"/>
      <c r="D395" s="15" t="n"/>
      <c r="E395" s="15" t="n"/>
      <c r="F395" s="15" t="n"/>
      <c r="G395" s="16" t="n"/>
      <c r="H395" s="16" t="n"/>
      <c r="I395" s="16" t="n"/>
      <c r="J395" s="15" t="n"/>
      <c r="K395" s="16" t="n"/>
      <c r="L395" s="17">
        <f>IF(OR(G395="",H395=""),"",ABS(G395-H395))</f>
        <v/>
      </c>
      <c r="M395" s="18">
        <f>IF(OR(K395="",L395="",L395=0),"",IF(D395="Short",(G395-K395)/L395,(K395-G395)/L395))</f>
        <v/>
      </c>
      <c r="N395" s="18">
        <f>IF(M395="","",SUM($M$2:M395))</f>
        <v/>
      </c>
      <c r="O395" s="19" t="n"/>
      <c r="P395" s="15" t="n"/>
      <c r="Q395" s="15" t="n"/>
      <c r="R395" s="15" t="n"/>
      <c r="S395">
        <f>IF(N395="","",MAX(0,MAX($N$2:N395)))</f>
        <v/>
      </c>
      <c r="T395">
        <f>IF(N395="","",S395-N395)</f>
        <v/>
      </c>
      <c r="U395">
        <f>IF(M395="","",IF(M395&lt;0,IF(U394="",1,U394+1),0))</f>
        <v/>
      </c>
    </row>
    <row r="396">
      <c r="A396" s="6">
        <f>IF(B396="","",ROW()-1)</f>
        <v/>
      </c>
      <c r="B396" s="15" t="n"/>
      <c r="C396" s="15" t="n"/>
      <c r="D396" s="15" t="n"/>
      <c r="E396" s="15" t="n"/>
      <c r="F396" s="15" t="n"/>
      <c r="G396" s="16" t="n"/>
      <c r="H396" s="16" t="n"/>
      <c r="I396" s="16" t="n"/>
      <c r="J396" s="15" t="n"/>
      <c r="K396" s="16" t="n"/>
      <c r="L396" s="17">
        <f>IF(OR(G396="",H396=""),"",ABS(G396-H396))</f>
        <v/>
      </c>
      <c r="M396" s="18">
        <f>IF(OR(K396="",L396="",L396=0),"",IF(D396="Short",(G396-K396)/L396,(K396-G396)/L396))</f>
        <v/>
      </c>
      <c r="N396" s="18">
        <f>IF(M396="","",SUM($M$2:M396))</f>
        <v/>
      </c>
      <c r="O396" s="19" t="n"/>
      <c r="P396" s="15" t="n"/>
      <c r="Q396" s="15" t="n"/>
      <c r="R396" s="15" t="n"/>
      <c r="S396">
        <f>IF(N396="","",MAX(0,MAX($N$2:N396)))</f>
        <v/>
      </c>
      <c r="T396">
        <f>IF(N396="","",S396-N396)</f>
        <v/>
      </c>
      <c r="U396">
        <f>IF(M396="","",IF(M396&lt;0,IF(U395="",1,U395+1),0))</f>
        <v/>
      </c>
    </row>
    <row r="397">
      <c r="A397" s="6">
        <f>IF(B397="","",ROW()-1)</f>
        <v/>
      </c>
      <c r="B397" s="15" t="n"/>
      <c r="C397" s="15" t="n"/>
      <c r="D397" s="15" t="n"/>
      <c r="E397" s="15" t="n"/>
      <c r="F397" s="15" t="n"/>
      <c r="G397" s="16" t="n"/>
      <c r="H397" s="16" t="n"/>
      <c r="I397" s="16" t="n"/>
      <c r="J397" s="15" t="n"/>
      <c r="K397" s="16" t="n"/>
      <c r="L397" s="17">
        <f>IF(OR(G397="",H397=""),"",ABS(G397-H397))</f>
        <v/>
      </c>
      <c r="M397" s="18">
        <f>IF(OR(K397="",L397="",L397=0),"",IF(D397="Short",(G397-K397)/L397,(K397-G397)/L397))</f>
        <v/>
      </c>
      <c r="N397" s="18">
        <f>IF(M397="","",SUM($M$2:M397))</f>
        <v/>
      </c>
      <c r="O397" s="19" t="n"/>
      <c r="P397" s="15" t="n"/>
      <c r="Q397" s="15" t="n"/>
      <c r="R397" s="15" t="n"/>
      <c r="S397">
        <f>IF(N397="","",MAX(0,MAX($N$2:N397)))</f>
        <v/>
      </c>
      <c r="T397">
        <f>IF(N397="","",S397-N397)</f>
        <v/>
      </c>
      <c r="U397">
        <f>IF(M397="","",IF(M397&lt;0,IF(U396="",1,U396+1),0))</f>
        <v/>
      </c>
    </row>
    <row r="398">
      <c r="A398" s="6">
        <f>IF(B398="","",ROW()-1)</f>
        <v/>
      </c>
      <c r="B398" s="15" t="n"/>
      <c r="C398" s="15" t="n"/>
      <c r="D398" s="15" t="n"/>
      <c r="E398" s="15" t="n"/>
      <c r="F398" s="15" t="n"/>
      <c r="G398" s="16" t="n"/>
      <c r="H398" s="16" t="n"/>
      <c r="I398" s="16" t="n"/>
      <c r="J398" s="15" t="n"/>
      <c r="K398" s="16" t="n"/>
      <c r="L398" s="17">
        <f>IF(OR(G398="",H398=""),"",ABS(G398-H398))</f>
        <v/>
      </c>
      <c r="M398" s="18">
        <f>IF(OR(K398="",L398="",L398=0),"",IF(D398="Short",(G398-K398)/L398,(K398-G398)/L398))</f>
        <v/>
      </c>
      <c r="N398" s="18">
        <f>IF(M398="","",SUM($M$2:M398))</f>
        <v/>
      </c>
      <c r="O398" s="19" t="n"/>
      <c r="P398" s="15" t="n"/>
      <c r="Q398" s="15" t="n"/>
      <c r="R398" s="15" t="n"/>
      <c r="S398">
        <f>IF(N398="","",MAX(0,MAX($N$2:N398)))</f>
        <v/>
      </c>
      <c r="T398">
        <f>IF(N398="","",S398-N398)</f>
        <v/>
      </c>
      <c r="U398">
        <f>IF(M398="","",IF(M398&lt;0,IF(U397="",1,U397+1),0))</f>
        <v/>
      </c>
    </row>
    <row r="399">
      <c r="A399" s="6">
        <f>IF(B399="","",ROW()-1)</f>
        <v/>
      </c>
      <c r="B399" s="15" t="n"/>
      <c r="C399" s="15" t="n"/>
      <c r="D399" s="15" t="n"/>
      <c r="E399" s="15" t="n"/>
      <c r="F399" s="15" t="n"/>
      <c r="G399" s="16" t="n"/>
      <c r="H399" s="16" t="n"/>
      <c r="I399" s="16" t="n"/>
      <c r="J399" s="15" t="n"/>
      <c r="K399" s="16" t="n"/>
      <c r="L399" s="17">
        <f>IF(OR(G399="",H399=""),"",ABS(G399-H399))</f>
        <v/>
      </c>
      <c r="M399" s="18">
        <f>IF(OR(K399="",L399="",L399=0),"",IF(D399="Short",(G399-K399)/L399,(K399-G399)/L399))</f>
        <v/>
      </c>
      <c r="N399" s="18">
        <f>IF(M399="","",SUM($M$2:M399))</f>
        <v/>
      </c>
      <c r="O399" s="19" t="n"/>
      <c r="P399" s="15" t="n"/>
      <c r="Q399" s="15" t="n"/>
      <c r="R399" s="15" t="n"/>
      <c r="S399">
        <f>IF(N399="","",MAX(0,MAX($N$2:N399)))</f>
        <v/>
      </c>
      <c r="T399">
        <f>IF(N399="","",S399-N399)</f>
        <v/>
      </c>
      <c r="U399">
        <f>IF(M399="","",IF(M399&lt;0,IF(U398="",1,U398+1),0))</f>
        <v/>
      </c>
    </row>
    <row r="400">
      <c r="A400" s="6">
        <f>IF(B400="","",ROW()-1)</f>
        <v/>
      </c>
      <c r="B400" s="15" t="n"/>
      <c r="C400" s="15" t="n"/>
      <c r="D400" s="15" t="n"/>
      <c r="E400" s="15" t="n"/>
      <c r="F400" s="15" t="n"/>
      <c r="G400" s="16" t="n"/>
      <c r="H400" s="16" t="n"/>
      <c r="I400" s="16" t="n"/>
      <c r="J400" s="15" t="n"/>
      <c r="K400" s="16" t="n"/>
      <c r="L400" s="17">
        <f>IF(OR(G400="",H400=""),"",ABS(G400-H400))</f>
        <v/>
      </c>
      <c r="M400" s="18">
        <f>IF(OR(K400="",L400="",L400=0),"",IF(D400="Short",(G400-K400)/L400,(K400-G400)/L400))</f>
        <v/>
      </c>
      <c r="N400" s="18">
        <f>IF(M400="","",SUM($M$2:M400))</f>
        <v/>
      </c>
      <c r="O400" s="19" t="n"/>
      <c r="P400" s="15" t="n"/>
      <c r="Q400" s="15" t="n"/>
      <c r="R400" s="15" t="n"/>
      <c r="S400">
        <f>IF(N400="","",MAX(0,MAX($N$2:N400)))</f>
        <v/>
      </c>
      <c r="T400">
        <f>IF(N400="","",S400-N400)</f>
        <v/>
      </c>
      <c r="U400">
        <f>IF(M400="","",IF(M400&lt;0,IF(U399="",1,U399+1),0))</f>
        <v/>
      </c>
    </row>
    <row r="401">
      <c r="A401" s="6">
        <f>IF(B401="","",ROW()-1)</f>
        <v/>
      </c>
      <c r="B401" s="15" t="n"/>
      <c r="C401" s="15" t="n"/>
      <c r="D401" s="15" t="n"/>
      <c r="E401" s="15" t="n"/>
      <c r="F401" s="15" t="n"/>
      <c r="G401" s="16" t="n"/>
      <c r="H401" s="16" t="n"/>
      <c r="I401" s="16" t="n"/>
      <c r="J401" s="15" t="n"/>
      <c r="K401" s="16" t="n"/>
      <c r="L401" s="17">
        <f>IF(OR(G401="",H401=""),"",ABS(G401-H401))</f>
        <v/>
      </c>
      <c r="M401" s="18">
        <f>IF(OR(K401="",L401="",L401=0),"",IF(D401="Short",(G401-K401)/L401,(K401-G401)/L401))</f>
        <v/>
      </c>
      <c r="N401" s="18">
        <f>IF(M401="","",SUM($M$2:M401))</f>
        <v/>
      </c>
      <c r="O401" s="19" t="n"/>
      <c r="P401" s="15" t="n"/>
      <c r="Q401" s="15" t="n"/>
      <c r="R401" s="15" t="n"/>
      <c r="S401">
        <f>IF(N401="","",MAX(0,MAX($N$2:N401)))</f>
        <v/>
      </c>
      <c r="T401">
        <f>IF(N401="","",S401-N401)</f>
        <v/>
      </c>
      <c r="U401">
        <f>IF(M401="","",IF(M401&lt;0,IF(U400="",1,U400+1),0))</f>
        <v/>
      </c>
    </row>
    <row r="402">
      <c r="A402" s="6">
        <f>IF(B402="","",ROW()-1)</f>
        <v/>
      </c>
      <c r="B402" s="15" t="n"/>
      <c r="C402" s="15" t="n"/>
      <c r="D402" s="15" t="n"/>
      <c r="E402" s="15" t="n"/>
      <c r="F402" s="15" t="n"/>
      <c r="G402" s="16" t="n"/>
      <c r="H402" s="16" t="n"/>
      <c r="I402" s="16" t="n"/>
      <c r="J402" s="15" t="n"/>
      <c r="K402" s="16" t="n"/>
      <c r="L402" s="17">
        <f>IF(OR(G402="",H402=""),"",ABS(G402-H402))</f>
        <v/>
      </c>
      <c r="M402" s="18">
        <f>IF(OR(K402="",L402="",L402=0),"",IF(D402="Short",(G402-K402)/L402,(K402-G402)/L402))</f>
        <v/>
      </c>
      <c r="N402" s="18">
        <f>IF(M402="","",SUM($M$2:M402))</f>
        <v/>
      </c>
      <c r="O402" s="19" t="n"/>
      <c r="P402" s="15" t="n"/>
      <c r="Q402" s="15" t="n"/>
      <c r="R402" s="15" t="n"/>
      <c r="S402">
        <f>IF(N402="","",MAX(0,MAX($N$2:N402)))</f>
        <v/>
      </c>
      <c r="T402">
        <f>IF(N402="","",S402-N402)</f>
        <v/>
      </c>
      <c r="U402">
        <f>IF(M402="","",IF(M402&lt;0,IF(U401="",1,U401+1),0))</f>
        <v/>
      </c>
    </row>
    <row r="403">
      <c r="A403" s="6">
        <f>IF(B403="","",ROW()-1)</f>
        <v/>
      </c>
      <c r="B403" s="15" t="n"/>
      <c r="C403" s="15" t="n"/>
      <c r="D403" s="15" t="n"/>
      <c r="E403" s="15" t="n"/>
      <c r="F403" s="15" t="n"/>
      <c r="G403" s="16" t="n"/>
      <c r="H403" s="16" t="n"/>
      <c r="I403" s="16" t="n"/>
      <c r="J403" s="15" t="n"/>
      <c r="K403" s="16" t="n"/>
      <c r="L403" s="17">
        <f>IF(OR(G403="",H403=""),"",ABS(G403-H403))</f>
        <v/>
      </c>
      <c r="M403" s="18">
        <f>IF(OR(K403="",L403="",L403=0),"",IF(D403="Short",(G403-K403)/L403,(K403-G403)/L403))</f>
        <v/>
      </c>
      <c r="N403" s="18">
        <f>IF(M403="","",SUM($M$2:M403))</f>
        <v/>
      </c>
      <c r="O403" s="19" t="n"/>
      <c r="P403" s="15" t="n"/>
      <c r="Q403" s="15" t="n"/>
      <c r="R403" s="15" t="n"/>
      <c r="S403">
        <f>IF(N403="","",MAX(0,MAX($N$2:N403)))</f>
        <v/>
      </c>
      <c r="T403">
        <f>IF(N403="","",S403-N403)</f>
        <v/>
      </c>
      <c r="U403">
        <f>IF(M403="","",IF(M403&lt;0,IF(U402="",1,U402+1),0))</f>
        <v/>
      </c>
    </row>
    <row r="404">
      <c r="A404" s="6">
        <f>IF(B404="","",ROW()-1)</f>
        <v/>
      </c>
      <c r="B404" s="15" t="n"/>
      <c r="C404" s="15" t="n"/>
      <c r="D404" s="15" t="n"/>
      <c r="E404" s="15" t="n"/>
      <c r="F404" s="15" t="n"/>
      <c r="G404" s="16" t="n"/>
      <c r="H404" s="16" t="n"/>
      <c r="I404" s="16" t="n"/>
      <c r="J404" s="15" t="n"/>
      <c r="K404" s="16" t="n"/>
      <c r="L404" s="17">
        <f>IF(OR(G404="",H404=""),"",ABS(G404-H404))</f>
        <v/>
      </c>
      <c r="M404" s="18">
        <f>IF(OR(K404="",L404="",L404=0),"",IF(D404="Short",(G404-K404)/L404,(K404-G404)/L404))</f>
        <v/>
      </c>
      <c r="N404" s="18">
        <f>IF(M404="","",SUM($M$2:M404))</f>
        <v/>
      </c>
      <c r="O404" s="19" t="n"/>
      <c r="P404" s="15" t="n"/>
      <c r="Q404" s="15" t="n"/>
      <c r="R404" s="15" t="n"/>
      <c r="S404">
        <f>IF(N404="","",MAX(0,MAX($N$2:N404)))</f>
        <v/>
      </c>
      <c r="T404">
        <f>IF(N404="","",S404-N404)</f>
        <v/>
      </c>
      <c r="U404">
        <f>IF(M404="","",IF(M404&lt;0,IF(U403="",1,U403+1),0))</f>
        <v/>
      </c>
    </row>
    <row r="405">
      <c r="A405" s="6">
        <f>IF(B405="","",ROW()-1)</f>
        <v/>
      </c>
      <c r="B405" s="15" t="n"/>
      <c r="C405" s="15" t="n"/>
      <c r="D405" s="15" t="n"/>
      <c r="E405" s="15" t="n"/>
      <c r="F405" s="15" t="n"/>
      <c r="G405" s="16" t="n"/>
      <c r="H405" s="16" t="n"/>
      <c r="I405" s="16" t="n"/>
      <c r="J405" s="15" t="n"/>
      <c r="K405" s="16" t="n"/>
      <c r="L405" s="17">
        <f>IF(OR(G405="",H405=""),"",ABS(G405-H405))</f>
        <v/>
      </c>
      <c r="M405" s="18">
        <f>IF(OR(K405="",L405="",L405=0),"",IF(D405="Short",(G405-K405)/L405,(K405-G405)/L405))</f>
        <v/>
      </c>
      <c r="N405" s="18">
        <f>IF(M405="","",SUM($M$2:M405))</f>
        <v/>
      </c>
      <c r="O405" s="19" t="n"/>
      <c r="P405" s="15" t="n"/>
      <c r="Q405" s="15" t="n"/>
      <c r="R405" s="15" t="n"/>
      <c r="S405">
        <f>IF(N405="","",MAX(0,MAX($N$2:N405)))</f>
        <v/>
      </c>
      <c r="T405">
        <f>IF(N405="","",S405-N405)</f>
        <v/>
      </c>
      <c r="U405">
        <f>IF(M405="","",IF(M405&lt;0,IF(U404="",1,U404+1),0))</f>
        <v/>
      </c>
    </row>
    <row r="406">
      <c r="A406" s="6">
        <f>IF(B406="","",ROW()-1)</f>
        <v/>
      </c>
      <c r="B406" s="15" t="n"/>
      <c r="C406" s="15" t="n"/>
      <c r="D406" s="15" t="n"/>
      <c r="E406" s="15" t="n"/>
      <c r="F406" s="15" t="n"/>
      <c r="G406" s="16" t="n"/>
      <c r="H406" s="16" t="n"/>
      <c r="I406" s="16" t="n"/>
      <c r="J406" s="15" t="n"/>
      <c r="K406" s="16" t="n"/>
      <c r="L406" s="17">
        <f>IF(OR(G406="",H406=""),"",ABS(G406-H406))</f>
        <v/>
      </c>
      <c r="M406" s="18">
        <f>IF(OR(K406="",L406="",L406=0),"",IF(D406="Short",(G406-K406)/L406,(K406-G406)/L406))</f>
        <v/>
      </c>
      <c r="N406" s="18">
        <f>IF(M406="","",SUM($M$2:M406))</f>
        <v/>
      </c>
      <c r="O406" s="19" t="n"/>
      <c r="P406" s="15" t="n"/>
      <c r="Q406" s="15" t="n"/>
      <c r="R406" s="15" t="n"/>
      <c r="S406">
        <f>IF(N406="","",MAX(0,MAX($N$2:N406)))</f>
        <v/>
      </c>
      <c r="T406">
        <f>IF(N406="","",S406-N406)</f>
        <v/>
      </c>
      <c r="U406">
        <f>IF(M406="","",IF(M406&lt;0,IF(U405="",1,U405+1),0))</f>
        <v/>
      </c>
    </row>
    <row r="407">
      <c r="A407" s="6">
        <f>IF(B407="","",ROW()-1)</f>
        <v/>
      </c>
      <c r="B407" s="15" t="n"/>
      <c r="C407" s="15" t="n"/>
      <c r="D407" s="15" t="n"/>
      <c r="E407" s="15" t="n"/>
      <c r="F407" s="15" t="n"/>
      <c r="G407" s="16" t="n"/>
      <c r="H407" s="16" t="n"/>
      <c r="I407" s="16" t="n"/>
      <c r="J407" s="15" t="n"/>
      <c r="K407" s="16" t="n"/>
      <c r="L407" s="17">
        <f>IF(OR(G407="",H407=""),"",ABS(G407-H407))</f>
        <v/>
      </c>
      <c r="M407" s="18">
        <f>IF(OR(K407="",L407="",L407=0),"",IF(D407="Short",(G407-K407)/L407,(K407-G407)/L407))</f>
        <v/>
      </c>
      <c r="N407" s="18">
        <f>IF(M407="","",SUM($M$2:M407))</f>
        <v/>
      </c>
      <c r="O407" s="19" t="n"/>
      <c r="P407" s="15" t="n"/>
      <c r="Q407" s="15" t="n"/>
      <c r="R407" s="15" t="n"/>
      <c r="S407">
        <f>IF(N407="","",MAX(0,MAX($N$2:N407)))</f>
        <v/>
      </c>
      <c r="T407">
        <f>IF(N407="","",S407-N407)</f>
        <v/>
      </c>
      <c r="U407">
        <f>IF(M407="","",IF(M407&lt;0,IF(U406="",1,U406+1),0))</f>
        <v/>
      </c>
    </row>
    <row r="408">
      <c r="A408" s="6">
        <f>IF(B408="","",ROW()-1)</f>
        <v/>
      </c>
      <c r="B408" s="15" t="n"/>
      <c r="C408" s="15" t="n"/>
      <c r="D408" s="15" t="n"/>
      <c r="E408" s="15" t="n"/>
      <c r="F408" s="15" t="n"/>
      <c r="G408" s="16" t="n"/>
      <c r="H408" s="16" t="n"/>
      <c r="I408" s="16" t="n"/>
      <c r="J408" s="15" t="n"/>
      <c r="K408" s="16" t="n"/>
      <c r="L408" s="17">
        <f>IF(OR(G408="",H408=""),"",ABS(G408-H408))</f>
        <v/>
      </c>
      <c r="M408" s="18">
        <f>IF(OR(K408="",L408="",L408=0),"",IF(D408="Short",(G408-K408)/L408,(K408-G408)/L408))</f>
        <v/>
      </c>
      <c r="N408" s="18">
        <f>IF(M408="","",SUM($M$2:M408))</f>
        <v/>
      </c>
      <c r="O408" s="19" t="n"/>
      <c r="P408" s="15" t="n"/>
      <c r="Q408" s="15" t="n"/>
      <c r="R408" s="15" t="n"/>
      <c r="S408">
        <f>IF(N408="","",MAX(0,MAX($N$2:N408)))</f>
        <v/>
      </c>
      <c r="T408">
        <f>IF(N408="","",S408-N408)</f>
        <v/>
      </c>
      <c r="U408">
        <f>IF(M408="","",IF(M408&lt;0,IF(U407="",1,U407+1),0))</f>
        <v/>
      </c>
    </row>
    <row r="409">
      <c r="A409" s="6">
        <f>IF(B409="","",ROW()-1)</f>
        <v/>
      </c>
      <c r="B409" s="15" t="n"/>
      <c r="C409" s="15" t="n"/>
      <c r="D409" s="15" t="n"/>
      <c r="E409" s="15" t="n"/>
      <c r="F409" s="15" t="n"/>
      <c r="G409" s="16" t="n"/>
      <c r="H409" s="16" t="n"/>
      <c r="I409" s="16" t="n"/>
      <c r="J409" s="15" t="n"/>
      <c r="K409" s="16" t="n"/>
      <c r="L409" s="17">
        <f>IF(OR(G409="",H409=""),"",ABS(G409-H409))</f>
        <v/>
      </c>
      <c r="M409" s="18">
        <f>IF(OR(K409="",L409="",L409=0),"",IF(D409="Short",(G409-K409)/L409,(K409-G409)/L409))</f>
        <v/>
      </c>
      <c r="N409" s="18">
        <f>IF(M409="","",SUM($M$2:M409))</f>
        <v/>
      </c>
      <c r="O409" s="19" t="n"/>
      <c r="P409" s="15" t="n"/>
      <c r="Q409" s="15" t="n"/>
      <c r="R409" s="15" t="n"/>
      <c r="S409">
        <f>IF(N409="","",MAX(0,MAX($N$2:N409)))</f>
        <v/>
      </c>
      <c r="T409">
        <f>IF(N409="","",S409-N409)</f>
        <v/>
      </c>
      <c r="U409">
        <f>IF(M409="","",IF(M409&lt;0,IF(U408="",1,U408+1),0))</f>
        <v/>
      </c>
    </row>
    <row r="410">
      <c r="A410" s="6">
        <f>IF(B410="","",ROW()-1)</f>
        <v/>
      </c>
      <c r="B410" s="15" t="n"/>
      <c r="C410" s="15" t="n"/>
      <c r="D410" s="15" t="n"/>
      <c r="E410" s="15" t="n"/>
      <c r="F410" s="15" t="n"/>
      <c r="G410" s="16" t="n"/>
      <c r="H410" s="16" t="n"/>
      <c r="I410" s="16" t="n"/>
      <c r="J410" s="15" t="n"/>
      <c r="K410" s="16" t="n"/>
      <c r="L410" s="17">
        <f>IF(OR(G410="",H410=""),"",ABS(G410-H410))</f>
        <v/>
      </c>
      <c r="M410" s="18">
        <f>IF(OR(K410="",L410="",L410=0),"",IF(D410="Short",(G410-K410)/L410,(K410-G410)/L410))</f>
        <v/>
      </c>
      <c r="N410" s="18">
        <f>IF(M410="","",SUM($M$2:M410))</f>
        <v/>
      </c>
      <c r="O410" s="19" t="n"/>
      <c r="P410" s="15" t="n"/>
      <c r="Q410" s="15" t="n"/>
      <c r="R410" s="15" t="n"/>
      <c r="S410">
        <f>IF(N410="","",MAX(0,MAX($N$2:N410)))</f>
        <v/>
      </c>
      <c r="T410">
        <f>IF(N410="","",S410-N410)</f>
        <v/>
      </c>
      <c r="U410">
        <f>IF(M410="","",IF(M410&lt;0,IF(U409="",1,U409+1),0))</f>
        <v/>
      </c>
    </row>
    <row r="411">
      <c r="A411" s="6">
        <f>IF(B411="","",ROW()-1)</f>
        <v/>
      </c>
      <c r="B411" s="15" t="n"/>
      <c r="C411" s="15" t="n"/>
      <c r="D411" s="15" t="n"/>
      <c r="E411" s="15" t="n"/>
      <c r="F411" s="15" t="n"/>
      <c r="G411" s="16" t="n"/>
      <c r="H411" s="16" t="n"/>
      <c r="I411" s="16" t="n"/>
      <c r="J411" s="15" t="n"/>
      <c r="K411" s="16" t="n"/>
      <c r="L411" s="17">
        <f>IF(OR(G411="",H411=""),"",ABS(G411-H411))</f>
        <v/>
      </c>
      <c r="M411" s="18">
        <f>IF(OR(K411="",L411="",L411=0),"",IF(D411="Short",(G411-K411)/L411,(K411-G411)/L411))</f>
        <v/>
      </c>
      <c r="N411" s="18">
        <f>IF(M411="","",SUM($M$2:M411))</f>
        <v/>
      </c>
      <c r="O411" s="19" t="n"/>
      <c r="P411" s="15" t="n"/>
      <c r="Q411" s="15" t="n"/>
      <c r="R411" s="15" t="n"/>
      <c r="S411">
        <f>IF(N411="","",MAX(0,MAX($N$2:N411)))</f>
        <v/>
      </c>
      <c r="T411">
        <f>IF(N411="","",S411-N411)</f>
        <v/>
      </c>
      <c r="U411">
        <f>IF(M411="","",IF(M411&lt;0,IF(U410="",1,U410+1),0))</f>
        <v/>
      </c>
    </row>
    <row r="412">
      <c r="A412" s="6">
        <f>IF(B412="","",ROW()-1)</f>
        <v/>
      </c>
      <c r="B412" s="15" t="n"/>
      <c r="C412" s="15" t="n"/>
      <c r="D412" s="15" t="n"/>
      <c r="E412" s="15" t="n"/>
      <c r="F412" s="15" t="n"/>
      <c r="G412" s="16" t="n"/>
      <c r="H412" s="16" t="n"/>
      <c r="I412" s="16" t="n"/>
      <c r="J412" s="15" t="n"/>
      <c r="K412" s="16" t="n"/>
      <c r="L412" s="17">
        <f>IF(OR(G412="",H412=""),"",ABS(G412-H412))</f>
        <v/>
      </c>
      <c r="M412" s="18">
        <f>IF(OR(K412="",L412="",L412=0),"",IF(D412="Short",(G412-K412)/L412,(K412-G412)/L412))</f>
        <v/>
      </c>
      <c r="N412" s="18">
        <f>IF(M412="","",SUM($M$2:M412))</f>
        <v/>
      </c>
      <c r="O412" s="19" t="n"/>
      <c r="P412" s="15" t="n"/>
      <c r="Q412" s="15" t="n"/>
      <c r="R412" s="15" t="n"/>
      <c r="S412">
        <f>IF(N412="","",MAX(0,MAX($N$2:N412)))</f>
        <v/>
      </c>
      <c r="T412">
        <f>IF(N412="","",S412-N412)</f>
        <v/>
      </c>
      <c r="U412">
        <f>IF(M412="","",IF(M412&lt;0,IF(U411="",1,U411+1),0))</f>
        <v/>
      </c>
    </row>
    <row r="413">
      <c r="A413" s="6">
        <f>IF(B413="","",ROW()-1)</f>
        <v/>
      </c>
      <c r="B413" s="15" t="n"/>
      <c r="C413" s="15" t="n"/>
      <c r="D413" s="15" t="n"/>
      <c r="E413" s="15" t="n"/>
      <c r="F413" s="15" t="n"/>
      <c r="G413" s="16" t="n"/>
      <c r="H413" s="16" t="n"/>
      <c r="I413" s="16" t="n"/>
      <c r="J413" s="15" t="n"/>
      <c r="K413" s="16" t="n"/>
      <c r="L413" s="17">
        <f>IF(OR(G413="",H413=""),"",ABS(G413-H413))</f>
        <v/>
      </c>
      <c r="M413" s="18">
        <f>IF(OR(K413="",L413="",L413=0),"",IF(D413="Short",(G413-K413)/L413,(K413-G413)/L413))</f>
        <v/>
      </c>
      <c r="N413" s="18">
        <f>IF(M413="","",SUM($M$2:M413))</f>
        <v/>
      </c>
      <c r="O413" s="19" t="n"/>
      <c r="P413" s="15" t="n"/>
      <c r="Q413" s="15" t="n"/>
      <c r="R413" s="15" t="n"/>
      <c r="S413">
        <f>IF(N413="","",MAX(0,MAX($N$2:N413)))</f>
        <v/>
      </c>
      <c r="T413">
        <f>IF(N413="","",S413-N413)</f>
        <v/>
      </c>
      <c r="U413">
        <f>IF(M413="","",IF(M413&lt;0,IF(U412="",1,U412+1),0))</f>
        <v/>
      </c>
    </row>
    <row r="414">
      <c r="A414" s="6">
        <f>IF(B414="","",ROW()-1)</f>
        <v/>
      </c>
      <c r="B414" s="15" t="n"/>
      <c r="C414" s="15" t="n"/>
      <c r="D414" s="15" t="n"/>
      <c r="E414" s="15" t="n"/>
      <c r="F414" s="15" t="n"/>
      <c r="G414" s="16" t="n"/>
      <c r="H414" s="16" t="n"/>
      <c r="I414" s="16" t="n"/>
      <c r="J414" s="15" t="n"/>
      <c r="K414" s="16" t="n"/>
      <c r="L414" s="17">
        <f>IF(OR(G414="",H414=""),"",ABS(G414-H414))</f>
        <v/>
      </c>
      <c r="M414" s="18">
        <f>IF(OR(K414="",L414="",L414=0),"",IF(D414="Short",(G414-K414)/L414,(K414-G414)/L414))</f>
        <v/>
      </c>
      <c r="N414" s="18">
        <f>IF(M414="","",SUM($M$2:M414))</f>
        <v/>
      </c>
      <c r="O414" s="19" t="n"/>
      <c r="P414" s="15" t="n"/>
      <c r="Q414" s="15" t="n"/>
      <c r="R414" s="15" t="n"/>
      <c r="S414">
        <f>IF(N414="","",MAX(0,MAX($N$2:N414)))</f>
        <v/>
      </c>
      <c r="T414">
        <f>IF(N414="","",S414-N414)</f>
        <v/>
      </c>
      <c r="U414">
        <f>IF(M414="","",IF(M414&lt;0,IF(U413="",1,U413+1),0))</f>
        <v/>
      </c>
    </row>
    <row r="415">
      <c r="A415" s="6">
        <f>IF(B415="","",ROW()-1)</f>
        <v/>
      </c>
      <c r="B415" s="15" t="n"/>
      <c r="C415" s="15" t="n"/>
      <c r="D415" s="15" t="n"/>
      <c r="E415" s="15" t="n"/>
      <c r="F415" s="15" t="n"/>
      <c r="G415" s="16" t="n"/>
      <c r="H415" s="16" t="n"/>
      <c r="I415" s="16" t="n"/>
      <c r="J415" s="15" t="n"/>
      <c r="K415" s="16" t="n"/>
      <c r="L415" s="17">
        <f>IF(OR(G415="",H415=""),"",ABS(G415-H415))</f>
        <v/>
      </c>
      <c r="M415" s="18">
        <f>IF(OR(K415="",L415="",L415=0),"",IF(D415="Short",(G415-K415)/L415,(K415-G415)/L415))</f>
        <v/>
      </c>
      <c r="N415" s="18">
        <f>IF(M415="","",SUM($M$2:M415))</f>
        <v/>
      </c>
      <c r="O415" s="19" t="n"/>
      <c r="P415" s="15" t="n"/>
      <c r="Q415" s="15" t="n"/>
      <c r="R415" s="15" t="n"/>
      <c r="S415">
        <f>IF(N415="","",MAX(0,MAX($N$2:N415)))</f>
        <v/>
      </c>
      <c r="T415">
        <f>IF(N415="","",S415-N415)</f>
        <v/>
      </c>
      <c r="U415">
        <f>IF(M415="","",IF(M415&lt;0,IF(U414="",1,U414+1),0))</f>
        <v/>
      </c>
    </row>
    <row r="416">
      <c r="A416" s="6">
        <f>IF(B416="","",ROW()-1)</f>
        <v/>
      </c>
      <c r="B416" s="15" t="n"/>
      <c r="C416" s="15" t="n"/>
      <c r="D416" s="15" t="n"/>
      <c r="E416" s="15" t="n"/>
      <c r="F416" s="15" t="n"/>
      <c r="G416" s="16" t="n"/>
      <c r="H416" s="16" t="n"/>
      <c r="I416" s="16" t="n"/>
      <c r="J416" s="15" t="n"/>
      <c r="K416" s="16" t="n"/>
      <c r="L416" s="17">
        <f>IF(OR(G416="",H416=""),"",ABS(G416-H416))</f>
        <v/>
      </c>
      <c r="M416" s="18">
        <f>IF(OR(K416="",L416="",L416=0),"",IF(D416="Short",(G416-K416)/L416,(K416-G416)/L416))</f>
        <v/>
      </c>
      <c r="N416" s="18">
        <f>IF(M416="","",SUM($M$2:M416))</f>
        <v/>
      </c>
      <c r="O416" s="19" t="n"/>
      <c r="P416" s="15" t="n"/>
      <c r="Q416" s="15" t="n"/>
      <c r="R416" s="15" t="n"/>
      <c r="S416">
        <f>IF(N416="","",MAX(0,MAX($N$2:N416)))</f>
        <v/>
      </c>
      <c r="T416">
        <f>IF(N416="","",S416-N416)</f>
        <v/>
      </c>
      <c r="U416">
        <f>IF(M416="","",IF(M416&lt;0,IF(U415="",1,U415+1),0))</f>
        <v/>
      </c>
    </row>
    <row r="417">
      <c r="A417" s="6">
        <f>IF(B417="","",ROW()-1)</f>
        <v/>
      </c>
      <c r="B417" s="15" t="n"/>
      <c r="C417" s="15" t="n"/>
      <c r="D417" s="15" t="n"/>
      <c r="E417" s="15" t="n"/>
      <c r="F417" s="15" t="n"/>
      <c r="G417" s="16" t="n"/>
      <c r="H417" s="16" t="n"/>
      <c r="I417" s="16" t="n"/>
      <c r="J417" s="15" t="n"/>
      <c r="K417" s="16" t="n"/>
      <c r="L417" s="17">
        <f>IF(OR(G417="",H417=""),"",ABS(G417-H417))</f>
        <v/>
      </c>
      <c r="M417" s="18">
        <f>IF(OR(K417="",L417="",L417=0),"",IF(D417="Short",(G417-K417)/L417,(K417-G417)/L417))</f>
        <v/>
      </c>
      <c r="N417" s="18">
        <f>IF(M417="","",SUM($M$2:M417))</f>
        <v/>
      </c>
      <c r="O417" s="19" t="n"/>
      <c r="P417" s="15" t="n"/>
      <c r="Q417" s="15" t="n"/>
      <c r="R417" s="15" t="n"/>
      <c r="S417">
        <f>IF(N417="","",MAX(0,MAX($N$2:N417)))</f>
        <v/>
      </c>
      <c r="T417">
        <f>IF(N417="","",S417-N417)</f>
        <v/>
      </c>
      <c r="U417">
        <f>IF(M417="","",IF(M417&lt;0,IF(U416="",1,U416+1),0))</f>
        <v/>
      </c>
    </row>
    <row r="418">
      <c r="A418" s="6">
        <f>IF(B418="","",ROW()-1)</f>
        <v/>
      </c>
      <c r="B418" s="15" t="n"/>
      <c r="C418" s="15" t="n"/>
      <c r="D418" s="15" t="n"/>
      <c r="E418" s="15" t="n"/>
      <c r="F418" s="15" t="n"/>
      <c r="G418" s="16" t="n"/>
      <c r="H418" s="16" t="n"/>
      <c r="I418" s="16" t="n"/>
      <c r="J418" s="15" t="n"/>
      <c r="K418" s="16" t="n"/>
      <c r="L418" s="17">
        <f>IF(OR(G418="",H418=""),"",ABS(G418-H418))</f>
        <v/>
      </c>
      <c r="M418" s="18">
        <f>IF(OR(K418="",L418="",L418=0),"",IF(D418="Short",(G418-K418)/L418,(K418-G418)/L418))</f>
        <v/>
      </c>
      <c r="N418" s="18">
        <f>IF(M418="","",SUM($M$2:M418))</f>
        <v/>
      </c>
      <c r="O418" s="19" t="n"/>
      <c r="P418" s="15" t="n"/>
      <c r="Q418" s="15" t="n"/>
      <c r="R418" s="15" t="n"/>
      <c r="S418">
        <f>IF(N418="","",MAX(0,MAX($N$2:N418)))</f>
        <v/>
      </c>
      <c r="T418">
        <f>IF(N418="","",S418-N418)</f>
        <v/>
      </c>
      <c r="U418">
        <f>IF(M418="","",IF(M418&lt;0,IF(U417="",1,U417+1),0))</f>
        <v/>
      </c>
    </row>
    <row r="419">
      <c r="A419" s="6">
        <f>IF(B419="","",ROW()-1)</f>
        <v/>
      </c>
      <c r="B419" s="15" t="n"/>
      <c r="C419" s="15" t="n"/>
      <c r="D419" s="15" t="n"/>
      <c r="E419" s="15" t="n"/>
      <c r="F419" s="15" t="n"/>
      <c r="G419" s="16" t="n"/>
      <c r="H419" s="16" t="n"/>
      <c r="I419" s="16" t="n"/>
      <c r="J419" s="15" t="n"/>
      <c r="K419" s="16" t="n"/>
      <c r="L419" s="17">
        <f>IF(OR(G419="",H419=""),"",ABS(G419-H419))</f>
        <v/>
      </c>
      <c r="M419" s="18">
        <f>IF(OR(K419="",L419="",L419=0),"",IF(D419="Short",(G419-K419)/L419,(K419-G419)/L419))</f>
        <v/>
      </c>
      <c r="N419" s="18">
        <f>IF(M419="","",SUM($M$2:M419))</f>
        <v/>
      </c>
      <c r="O419" s="19" t="n"/>
      <c r="P419" s="15" t="n"/>
      <c r="Q419" s="15" t="n"/>
      <c r="R419" s="15" t="n"/>
      <c r="S419">
        <f>IF(N419="","",MAX(0,MAX($N$2:N419)))</f>
        <v/>
      </c>
      <c r="T419">
        <f>IF(N419="","",S419-N419)</f>
        <v/>
      </c>
      <c r="U419">
        <f>IF(M419="","",IF(M419&lt;0,IF(U418="",1,U418+1),0))</f>
        <v/>
      </c>
    </row>
    <row r="420">
      <c r="A420" s="6">
        <f>IF(B420="","",ROW()-1)</f>
        <v/>
      </c>
      <c r="B420" s="15" t="n"/>
      <c r="C420" s="15" t="n"/>
      <c r="D420" s="15" t="n"/>
      <c r="E420" s="15" t="n"/>
      <c r="F420" s="15" t="n"/>
      <c r="G420" s="16" t="n"/>
      <c r="H420" s="16" t="n"/>
      <c r="I420" s="16" t="n"/>
      <c r="J420" s="15" t="n"/>
      <c r="K420" s="16" t="n"/>
      <c r="L420" s="17">
        <f>IF(OR(G420="",H420=""),"",ABS(G420-H420))</f>
        <v/>
      </c>
      <c r="M420" s="18">
        <f>IF(OR(K420="",L420="",L420=0),"",IF(D420="Short",(G420-K420)/L420,(K420-G420)/L420))</f>
        <v/>
      </c>
      <c r="N420" s="18">
        <f>IF(M420="","",SUM($M$2:M420))</f>
        <v/>
      </c>
      <c r="O420" s="19" t="n"/>
      <c r="P420" s="15" t="n"/>
      <c r="Q420" s="15" t="n"/>
      <c r="R420" s="15" t="n"/>
      <c r="S420">
        <f>IF(N420="","",MAX(0,MAX($N$2:N420)))</f>
        <v/>
      </c>
      <c r="T420">
        <f>IF(N420="","",S420-N420)</f>
        <v/>
      </c>
      <c r="U420">
        <f>IF(M420="","",IF(M420&lt;0,IF(U419="",1,U419+1),0))</f>
        <v/>
      </c>
    </row>
    <row r="421">
      <c r="A421" s="6">
        <f>IF(B421="","",ROW()-1)</f>
        <v/>
      </c>
      <c r="B421" s="15" t="n"/>
      <c r="C421" s="15" t="n"/>
      <c r="D421" s="15" t="n"/>
      <c r="E421" s="15" t="n"/>
      <c r="F421" s="15" t="n"/>
      <c r="G421" s="16" t="n"/>
      <c r="H421" s="16" t="n"/>
      <c r="I421" s="16" t="n"/>
      <c r="J421" s="15" t="n"/>
      <c r="K421" s="16" t="n"/>
      <c r="L421" s="17">
        <f>IF(OR(G421="",H421=""),"",ABS(G421-H421))</f>
        <v/>
      </c>
      <c r="M421" s="18">
        <f>IF(OR(K421="",L421="",L421=0),"",IF(D421="Short",(G421-K421)/L421,(K421-G421)/L421))</f>
        <v/>
      </c>
      <c r="N421" s="18">
        <f>IF(M421="","",SUM($M$2:M421))</f>
        <v/>
      </c>
      <c r="O421" s="19" t="n"/>
      <c r="P421" s="15" t="n"/>
      <c r="Q421" s="15" t="n"/>
      <c r="R421" s="15" t="n"/>
      <c r="S421">
        <f>IF(N421="","",MAX(0,MAX($N$2:N421)))</f>
        <v/>
      </c>
      <c r="T421">
        <f>IF(N421="","",S421-N421)</f>
        <v/>
      </c>
      <c r="U421">
        <f>IF(M421="","",IF(M421&lt;0,IF(U420="",1,U420+1),0))</f>
        <v/>
      </c>
    </row>
    <row r="422">
      <c r="A422" s="6">
        <f>IF(B422="","",ROW()-1)</f>
        <v/>
      </c>
      <c r="B422" s="15" t="n"/>
      <c r="C422" s="15" t="n"/>
      <c r="D422" s="15" t="n"/>
      <c r="E422" s="15" t="n"/>
      <c r="F422" s="15" t="n"/>
      <c r="G422" s="16" t="n"/>
      <c r="H422" s="16" t="n"/>
      <c r="I422" s="16" t="n"/>
      <c r="J422" s="15" t="n"/>
      <c r="K422" s="16" t="n"/>
      <c r="L422" s="17">
        <f>IF(OR(G422="",H422=""),"",ABS(G422-H422))</f>
        <v/>
      </c>
      <c r="M422" s="18">
        <f>IF(OR(K422="",L422="",L422=0),"",IF(D422="Short",(G422-K422)/L422,(K422-G422)/L422))</f>
        <v/>
      </c>
      <c r="N422" s="18">
        <f>IF(M422="","",SUM($M$2:M422))</f>
        <v/>
      </c>
      <c r="O422" s="19" t="n"/>
      <c r="P422" s="15" t="n"/>
      <c r="Q422" s="15" t="n"/>
      <c r="R422" s="15" t="n"/>
      <c r="S422">
        <f>IF(N422="","",MAX(0,MAX($N$2:N422)))</f>
        <v/>
      </c>
      <c r="T422">
        <f>IF(N422="","",S422-N422)</f>
        <v/>
      </c>
      <c r="U422">
        <f>IF(M422="","",IF(M422&lt;0,IF(U421="",1,U421+1),0))</f>
        <v/>
      </c>
    </row>
    <row r="423">
      <c r="A423" s="6">
        <f>IF(B423="","",ROW()-1)</f>
        <v/>
      </c>
      <c r="B423" s="15" t="n"/>
      <c r="C423" s="15" t="n"/>
      <c r="D423" s="15" t="n"/>
      <c r="E423" s="15" t="n"/>
      <c r="F423" s="15" t="n"/>
      <c r="G423" s="16" t="n"/>
      <c r="H423" s="16" t="n"/>
      <c r="I423" s="16" t="n"/>
      <c r="J423" s="15" t="n"/>
      <c r="K423" s="16" t="n"/>
      <c r="L423" s="17">
        <f>IF(OR(G423="",H423=""),"",ABS(G423-H423))</f>
        <v/>
      </c>
      <c r="M423" s="18">
        <f>IF(OR(K423="",L423="",L423=0),"",IF(D423="Short",(G423-K423)/L423,(K423-G423)/L423))</f>
        <v/>
      </c>
      <c r="N423" s="18">
        <f>IF(M423="","",SUM($M$2:M423))</f>
        <v/>
      </c>
      <c r="O423" s="19" t="n"/>
      <c r="P423" s="15" t="n"/>
      <c r="Q423" s="15" t="n"/>
      <c r="R423" s="15" t="n"/>
      <c r="S423">
        <f>IF(N423="","",MAX(0,MAX($N$2:N423)))</f>
        <v/>
      </c>
      <c r="T423">
        <f>IF(N423="","",S423-N423)</f>
        <v/>
      </c>
      <c r="U423">
        <f>IF(M423="","",IF(M423&lt;0,IF(U422="",1,U422+1),0))</f>
        <v/>
      </c>
    </row>
    <row r="424">
      <c r="A424" s="6">
        <f>IF(B424="","",ROW()-1)</f>
        <v/>
      </c>
      <c r="B424" s="15" t="n"/>
      <c r="C424" s="15" t="n"/>
      <c r="D424" s="15" t="n"/>
      <c r="E424" s="15" t="n"/>
      <c r="F424" s="15" t="n"/>
      <c r="G424" s="16" t="n"/>
      <c r="H424" s="16" t="n"/>
      <c r="I424" s="16" t="n"/>
      <c r="J424" s="15" t="n"/>
      <c r="K424" s="16" t="n"/>
      <c r="L424" s="17">
        <f>IF(OR(G424="",H424=""),"",ABS(G424-H424))</f>
        <v/>
      </c>
      <c r="M424" s="18">
        <f>IF(OR(K424="",L424="",L424=0),"",IF(D424="Short",(G424-K424)/L424,(K424-G424)/L424))</f>
        <v/>
      </c>
      <c r="N424" s="18">
        <f>IF(M424="","",SUM($M$2:M424))</f>
        <v/>
      </c>
      <c r="O424" s="19" t="n"/>
      <c r="P424" s="15" t="n"/>
      <c r="Q424" s="15" t="n"/>
      <c r="R424" s="15" t="n"/>
      <c r="S424">
        <f>IF(N424="","",MAX(0,MAX($N$2:N424)))</f>
        <v/>
      </c>
      <c r="T424">
        <f>IF(N424="","",S424-N424)</f>
        <v/>
      </c>
      <c r="U424">
        <f>IF(M424="","",IF(M424&lt;0,IF(U423="",1,U423+1),0))</f>
        <v/>
      </c>
    </row>
    <row r="425">
      <c r="A425" s="6">
        <f>IF(B425="","",ROW()-1)</f>
        <v/>
      </c>
      <c r="B425" s="15" t="n"/>
      <c r="C425" s="15" t="n"/>
      <c r="D425" s="15" t="n"/>
      <c r="E425" s="15" t="n"/>
      <c r="F425" s="15" t="n"/>
      <c r="G425" s="16" t="n"/>
      <c r="H425" s="16" t="n"/>
      <c r="I425" s="16" t="n"/>
      <c r="J425" s="15" t="n"/>
      <c r="K425" s="16" t="n"/>
      <c r="L425" s="17">
        <f>IF(OR(G425="",H425=""),"",ABS(G425-H425))</f>
        <v/>
      </c>
      <c r="M425" s="18">
        <f>IF(OR(K425="",L425="",L425=0),"",IF(D425="Short",(G425-K425)/L425,(K425-G425)/L425))</f>
        <v/>
      </c>
      <c r="N425" s="18">
        <f>IF(M425="","",SUM($M$2:M425))</f>
        <v/>
      </c>
      <c r="O425" s="19" t="n"/>
      <c r="P425" s="15" t="n"/>
      <c r="Q425" s="15" t="n"/>
      <c r="R425" s="15" t="n"/>
      <c r="S425">
        <f>IF(N425="","",MAX(0,MAX($N$2:N425)))</f>
        <v/>
      </c>
      <c r="T425">
        <f>IF(N425="","",S425-N425)</f>
        <v/>
      </c>
      <c r="U425">
        <f>IF(M425="","",IF(M425&lt;0,IF(U424="",1,U424+1),0))</f>
        <v/>
      </c>
    </row>
    <row r="426">
      <c r="A426" s="6">
        <f>IF(B426="","",ROW()-1)</f>
        <v/>
      </c>
      <c r="B426" s="15" t="n"/>
      <c r="C426" s="15" t="n"/>
      <c r="D426" s="15" t="n"/>
      <c r="E426" s="15" t="n"/>
      <c r="F426" s="15" t="n"/>
      <c r="G426" s="16" t="n"/>
      <c r="H426" s="16" t="n"/>
      <c r="I426" s="16" t="n"/>
      <c r="J426" s="15" t="n"/>
      <c r="K426" s="16" t="n"/>
      <c r="L426" s="17">
        <f>IF(OR(G426="",H426=""),"",ABS(G426-H426))</f>
        <v/>
      </c>
      <c r="M426" s="18">
        <f>IF(OR(K426="",L426="",L426=0),"",IF(D426="Short",(G426-K426)/L426,(K426-G426)/L426))</f>
        <v/>
      </c>
      <c r="N426" s="18">
        <f>IF(M426="","",SUM($M$2:M426))</f>
        <v/>
      </c>
      <c r="O426" s="19" t="n"/>
      <c r="P426" s="15" t="n"/>
      <c r="Q426" s="15" t="n"/>
      <c r="R426" s="15" t="n"/>
      <c r="S426">
        <f>IF(N426="","",MAX(0,MAX($N$2:N426)))</f>
        <v/>
      </c>
      <c r="T426">
        <f>IF(N426="","",S426-N426)</f>
        <v/>
      </c>
      <c r="U426">
        <f>IF(M426="","",IF(M426&lt;0,IF(U425="",1,U425+1),0))</f>
        <v/>
      </c>
    </row>
    <row r="427">
      <c r="A427" s="6">
        <f>IF(B427="","",ROW()-1)</f>
        <v/>
      </c>
      <c r="B427" s="15" t="n"/>
      <c r="C427" s="15" t="n"/>
      <c r="D427" s="15" t="n"/>
      <c r="E427" s="15" t="n"/>
      <c r="F427" s="15" t="n"/>
      <c r="G427" s="16" t="n"/>
      <c r="H427" s="16" t="n"/>
      <c r="I427" s="16" t="n"/>
      <c r="J427" s="15" t="n"/>
      <c r="K427" s="16" t="n"/>
      <c r="L427" s="17">
        <f>IF(OR(G427="",H427=""),"",ABS(G427-H427))</f>
        <v/>
      </c>
      <c r="M427" s="18">
        <f>IF(OR(K427="",L427="",L427=0),"",IF(D427="Short",(G427-K427)/L427,(K427-G427)/L427))</f>
        <v/>
      </c>
      <c r="N427" s="18">
        <f>IF(M427="","",SUM($M$2:M427))</f>
        <v/>
      </c>
      <c r="O427" s="19" t="n"/>
      <c r="P427" s="15" t="n"/>
      <c r="Q427" s="15" t="n"/>
      <c r="R427" s="15" t="n"/>
      <c r="S427">
        <f>IF(N427="","",MAX(0,MAX($N$2:N427)))</f>
        <v/>
      </c>
      <c r="T427">
        <f>IF(N427="","",S427-N427)</f>
        <v/>
      </c>
      <c r="U427">
        <f>IF(M427="","",IF(M427&lt;0,IF(U426="",1,U426+1),0))</f>
        <v/>
      </c>
    </row>
    <row r="428">
      <c r="A428" s="6">
        <f>IF(B428="","",ROW()-1)</f>
        <v/>
      </c>
      <c r="B428" s="15" t="n"/>
      <c r="C428" s="15" t="n"/>
      <c r="D428" s="15" t="n"/>
      <c r="E428" s="15" t="n"/>
      <c r="F428" s="15" t="n"/>
      <c r="G428" s="16" t="n"/>
      <c r="H428" s="16" t="n"/>
      <c r="I428" s="16" t="n"/>
      <c r="J428" s="15" t="n"/>
      <c r="K428" s="16" t="n"/>
      <c r="L428" s="17">
        <f>IF(OR(G428="",H428=""),"",ABS(G428-H428))</f>
        <v/>
      </c>
      <c r="M428" s="18">
        <f>IF(OR(K428="",L428="",L428=0),"",IF(D428="Short",(G428-K428)/L428,(K428-G428)/L428))</f>
        <v/>
      </c>
      <c r="N428" s="18">
        <f>IF(M428="","",SUM($M$2:M428))</f>
        <v/>
      </c>
      <c r="O428" s="19" t="n"/>
      <c r="P428" s="15" t="n"/>
      <c r="Q428" s="15" t="n"/>
      <c r="R428" s="15" t="n"/>
      <c r="S428">
        <f>IF(N428="","",MAX(0,MAX($N$2:N428)))</f>
        <v/>
      </c>
      <c r="T428">
        <f>IF(N428="","",S428-N428)</f>
        <v/>
      </c>
      <c r="U428">
        <f>IF(M428="","",IF(M428&lt;0,IF(U427="",1,U427+1),0))</f>
        <v/>
      </c>
    </row>
    <row r="429">
      <c r="A429" s="6">
        <f>IF(B429="","",ROW()-1)</f>
        <v/>
      </c>
      <c r="B429" s="15" t="n"/>
      <c r="C429" s="15" t="n"/>
      <c r="D429" s="15" t="n"/>
      <c r="E429" s="15" t="n"/>
      <c r="F429" s="15" t="n"/>
      <c r="G429" s="16" t="n"/>
      <c r="H429" s="16" t="n"/>
      <c r="I429" s="16" t="n"/>
      <c r="J429" s="15" t="n"/>
      <c r="K429" s="16" t="n"/>
      <c r="L429" s="17">
        <f>IF(OR(G429="",H429=""),"",ABS(G429-H429))</f>
        <v/>
      </c>
      <c r="M429" s="18">
        <f>IF(OR(K429="",L429="",L429=0),"",IF(D429="Short",(G429-K429)/L429,(K429-G429)/L429))</f>
        <v/>
      </c>
      <c r="N429" s="18">
        <f>IF(M429="","",SUM($M$2:M429))</f>
        <v/>
      </c>
      <c r="O429" s="19" t="n"/>
      <c r="P429" s="15" t="n"/>
      <c r="Q429" s="15" t="n"/>
      <c r="R429" s="15" t="n"/>
      <c r="S429">
        <f>IF(N429="","",MAX(0,MAX($N$2:N429)))</f>
        <v/>
      </c>
      <c r="T429">
        <f>IF(N429="","",S429-N429)</f>
        <v/>
      </c>
      <c r="U429">
        <f>IF(M429="","",IF(M429&lt;0,IF(U428="",1,U428+1),0))</f>
        <v/>
      </c>
    </row>
    <row r="430">
      <c r="A430" s="6">
        <f>IF(B430="","",ROW()-1)</f>
        <v/>
      </c>
      <c r="B430" s="15" t="n"/>
      <c r="C430" s="15" t="n"/>
      <c r="D430" s="15" t="n"/>
      <c r="E430" s="15" t="n"/>
      <c r="F430" s="15" t="n"/>
      <c r="G430" s="16" t="n"/>
      <c r="H430" s="16" t="n"/>
      <c r="I430" s="16" t="n"/>
      <c r="J430" s="15" t="n"/>
      <c r="K430" s="16" t="n"/>
      <c r="L430" s="17">
        <f>IF(OR(G430="",H430=""),"",ABS(G430-H430))</f>
        <v/>
      </c>
      <c r="M430" s="18">
        <f>IF(OR(K430="",L430="",L430=0),"",IF(D430="Short",(G430-K430)/L430,(K430-G430)/L430))</f>
        <v/>
      </c>
      <c r="N430" s="18">
        <f>IF(M430="","",SUM($M$2:M430))</f>
        <v/>
      </c>
      <c r="O430" s="19" t="n"/>
      <c r="P430" s="15" t="n"/>
      <c r="Q430" s="15" t="n"/>
      <c r="R430" s="15" t="n"/>
      <c r="S430">
        <f>IF(N430="","",MAX(0,MAX($N$2:N430)))</f>
        <v/>
      </c>
      <c r="T430">
        <f>IF(N430="","",S430-N430)</f>
        <v/>
      </c>
      <c r="U430">
        <f>IF(M430="","",IF(M430&lt;0,IF(U429="",1,U429+1),0))</f>
        <v/>
      </c>
    </row>
    <row r="431">
      <c r="A431" s="6">
        <f>IF(B431="","",ROW()-1)</f>
        <v/>
      </c>
      <c r="B431" s="15" t="n"/>
      <c r="C431" s="15" t="n"/>
      <c r="D431" s="15" t="n"/>
      <c r="E431" s="15" t="n"/>
      <c r="F431" s="15" t="n"/>
      <c r="G431" s="16" t="n"/>
      <c r="H431" s="16" t="n"/>
      <c r="I431" s="16" t="n"/>
      <c r="J431" s="15" t="n"/>
      <c r="K431" s="16" t="n"/>
      <c r="L431" s="17">
        <f>IF(OR(G431="",H431=""),"",ABS(G431-H431))</f>
        <v/>
      </c>
      <c r="M431" s="18">
        <f>IF(OR(K431="",L431="",L431=0),"",IF(D431="Short",(G431-K431)/L431,(K431-G431)/L431))</f>
        <v/>
      </c>
      <c r="N431" s="18">
        <f>IF(M431="","",SUM($M$2:M431))</f>
        <v/>
      </c>
      <c r="O431" s="19" t="n"/>
      <c r="P431" s="15" t="n"/>
      <c r="Q431" s="15" t="n"/>
      <c r="R431" s="15" t="n"/>
      <c r="S431">
        <f>IF(N431="","",MAX(0,MAX($N$2:N431)))</f>
        <v/>
      </c>
      <c r="T431">
        <f>IF(N431="","",S431-N431)</f>
        <v/>
      </c>
      <c r="U431">
        <f>IF(M431="","",IF(M431&lt;0,IF(U430="",1,U430+1),0))</f>
        <v/>
      </c>
    </row>
    <row r="432">
      <c r="A432" s="6">
        <f>IF(B432="","",ROW()-1)</f>
        <v/>
      </c>
      <c r="B432" s="15" t="n"/>
      <c r="C432" s="15" t="n"/>
      <c r="D432" s="15" t="n"/>
      <c r="E432" s="15" t="n"/>
      <c r="F432" s="15" t="n"/>
      <c r="G432" s="16" t="n"/>
      <c r="H432" s="16" t="n"/>
      <c r="I432" s="16" t="n"/>
      <c r="J432" s="15" t="n"/>
      <c r="K432" s="16" t="n"/>
      <c r="L432" s="17">
        <f>IF(OR(G432="",H432=""),"",ABS(G432-H432))</f>
        <v/>
      </c>
      <c r="M432" s="18">
        <f>IF(OR(K432="",L432="",L432=0),"",IF(D432="Short",(G432-K432)/L432,(K432-G432)/L432))</f>
        <v/>
      </c>
      <c r="N432" s="18">
        <f>IF(M432="","",SUM($M$2:M432))</f>
        <v/>
      </c>
      <c r="O432" s="19" t="n"/>
      <c r="P432" s="15" t="n"/>
      <c r="Q432" s="15" t="n"/>
      <c r="R432" s="15" t="n"/>
      <c r="S432">
        <f>IF(N432="","",MAX(0,MAX($N$2:N432)))</f>
        <v/>
      </c>
      <c r="T432">
        <f>IF(N432="","",S432-N432)</f>
        <v/>
      </c>
      <c r="U432">
        <f>IF(M432="","",IF(M432&lt;0,IF(U431="",1,U431+1),0))</f>
        <v/>
      </c>
    </row>
    <row r="433">
      <c r="A433" s="6">
        <f>IF(B433="","",ROW()-1)</f>
        <v/>
      </c>
      <c r="B433" s="15" t="n"/>
      <c r="C433" s="15" t="n"/>
      <c r="D433" s="15" t="n"/>
      <c r="E433" s="15" t="n"/>
      <c r="F433" s="15" t="n"/>
      <c r="G433" s="16" t="n"/>
      <c r="H433" s="16" t="n"/>
      <c r="I433" s="16" t="n"/>
      <c r="J433" s="15" t="n"/>
      <c r="K433" s="16" t="n"/>
      <c r="L433" s="17">
        <f>IF(OR(G433="",H433=""),"",ABS(G433-H433))</f>
        <v/>
      </c>
      <c r="M433" s="18">
        <f>IF(OR(K433="",L433="",L433=0),"",IF(D433="Short",(G433-K433)/L433,(K433-G433)/L433))</f>
        <v/>
      </c>
      <c r="N433" s="18">
        <f>IF(M433="","",SUM($M$2:M433))</f>
        <v/>
      </c>
      <c r="O433" s="19" t="n"/>
      <c r="P433" s="15" t="n"/>
      <c r="Q433" s="15" t="n"/>
      <c r="R433" s="15" t="n"/>
      <c r="S433">
        <f>IF(N433="","",MAX(0,MAX($N$2:N433)))</f>
        <v/>
      </c>
      <c r="T433">
        <f>IF(N433="","",S433-N433)</f>
        <v/>
      </c>
      <c r="U433">
        <f>IF(M433="","",IF(M433&lt;0,IF(U432="",1,U432+1),0))</f>
        <v/>
      </c>
    </row>
    <row r="434">
      <c r="A434" s="6">
        <f>IF(B434="","",ROW()-1)</f>
        <v/>
      </c>
      <c r="B434" s="15" t="n"/>
      <c r="C434" s="15" t="n"/>
      <c r="D434" s="15" t="n"/>
      <c r="E434" s="15" t="n"/>
      <c r="F434" s="15" t="n"/>
      <c r="G434" s="16" t="n"/>
      <c r="H434" s="16" t="n"/>
      <c r="I434" s="16" t="n"/>
      <c r="J434" s="15" t="n"/>
      <c r="K434" s="16" t="n"/>
      <c r="L434" s="17">
        <f>IF(OR(G434="",H434=""),"",ABS(G434-H434))</f>
        <v/>
      </c>
      <c r="M434" s="18">
        <f>IF(OR(K434="",L434="",L434=0),"",IF(D434="Short",(G434-K434)/L434,(K434-G434)/L434))</f>
        <v/>
      </c>
      <c r="N434" s="18">
        <f>IF(M434="","",SUM($M$2:M434))</f>
        <v/>
      </c>
      <c r="O434" s="19" t="n"/>
      <c r="P434" s="15" t="n"/>
      <c r="Q434" s="15" t="n"/>
      <c r="R434" s="15" t="n"/>
      <c r="S434">
        <f>IF(N434="","",MAX(0,MAX($N$2:N434)))</f>
        <v/>
      </c>
      <c r="T434">
        <f>IF(N434="","",S434-N434)</f>
        <v/>
      </c>
      <c r="U434">
        <f>IF(M434="","",IF(M434&lt;0,IF(U433="",1,U433+1),0))</f>
        <v/>
      </c>
    </row>
    <row r="435">
      <c r="A435" s="6">
        <f>IF(B435="","",ROW()-1)</f>
        <v/>
      </c>
      <c r="B435" s="15" t="n"/>
      <c r="C435" s="15" t="n"/>
      <c r="D435" s="15" t="n"/>
      <c r="E435" s="15" t="n"/>
      <c r="F435" s="15" t="n"/>
      <c r="G435" s="16" t="n"/>
      <c r="H435" s="16" t="n"/>
      <c r="I435" s="16" t="n"/>
      <c r="J435" s="15" t="n"/>
      <c r="K435" s="16" t="n"/>
      <c r="L435" s="17">
        <f>IF(OR(G435="",H435=""),"",ABS(G435-H435))</f>
        <v/>
      </c>
      <c r="M435" s="18">
        <f>IF(OR(K435="",L435="",L435=0),"",IF(D435="Short",(G435-K435)/L435,(K435-G435)/L435))</f>
        <v/>
      </c>
      <c r="N435" s="18">
        <f>IF(M435="","",SUM($M$2:M435))</f>
        <v/>
      </c>
      <c r="O435" s="19" t="n"/>
      <c r="P435" s="15" t="n"/>
      <c r="Q435" s="15" t="n"/>
      <c r="R435" s="15" t="n"/>
      <c r="S435">
        <f>IF(N435="","",MAX(0,MAX($N$2:N435)))</f>
        <v/>
      </c>
      <c r="T435">
        <f>IF(N435="","",S435-N435)</f>
        <v/>
      </c>
      <c r="U435">
        <f>IF(M435="","",IF(M435&lt;0,IF(U434="",1,U434+1),0))</f>
        <v/>
      </c>
    </row>
    <row r="436">
      <c r="A436" s="6">
        <f>IF(B436="","",ROW()-1)</f>
        <v/>
      </c>
      <c r="B436" s="15" t="n"/>
      <c r="C436" s="15" t="n"/>
      <c r="D436" s="15" t="n"/>
      <c r="E436" s="15" t="n"/>
      <c r="F436" s="15" t="n"/>
      <c r="G436" s="16" t="n"/>
      <c r="H436" s="16" t="n"/>
      <c r="I436" s="16" t="n"/>
      <c r="J436" s="15" t="n"/>
      <c r="K436" s="16" t="n"/>
      <c r="L436" s="17">
        <f>IF(OR(G436="",H436=""),"",ABS(G436-H436))</f>
        <v/>
      </c>
      <c r="M436" s="18">
        <f>IF(OR(K436="",L436="",L436=0),"",IF(D436="Short",(G436-K436)/L436,(K436-G436)/L436))</f>
        <v/>
      </c>
      <c r="N436" s="18">
        <f>IF(M436="","",SUM($M$2:M436))</f>
        <v/>
      </c>
      <c r="O436" s="19" t="n"/>
      <c r="P436" s="15" t="n"/>
      <c r="Q436" s="15" t="n"/>
      <c r="R436" s="15" t="n"/>
      <c r="S436">
        <f>IF(N436="","",MAX(0,MAX($N$2:N436)))</f>
        <v/>
      </c>
      <c r="T436">
        <f>IF(N436="","",S436-N436)</f>
        <v/>
      </c>
      <c r="U436">
        <f>IF(M436="","",IF(M436&lt;0,IF(U435="",1,U435+1),0))</f>
        <v/>
      </c>
    </row>
    <row r="437">
      <c r="A437" s="6">
        <f>IF(B437="","",ROW()-1)</f>
        <v/>
      </c>
      <c r="B437" s="15" t="n"/>
      <c r="C437" s="15" t="n"/>
      <c r="D437" s="15" t="n"/>
      <c r="E437" s="15" t="n"/>
      <c r="F437" s="15" t="n"/>
      <c r="G437" s="16" t="n"/>
      <c r="H437" s="16" t="n"/>
      <c r="I437" s="16" t="n"/>
      <c r="J437" s="15" t="n"/>
      <c r="K437" s="16" t="n"/>
      <c r="L437" s="17">
        <f>IF(OR(G437="",H437=""),"",ABS(G437-H437))</f>
        <v/>
      </c>
      <c r="M437" s="18">
        <f>IF(OR(K437="",L437="",L437=0),"",IF(D437="Short",(G437-K437)/L437,(K437-G437)/L437))</f>
        <v/>
      </c>
      <c r="N437" s="18">
        <f>IF(M437="","",SUM($M$2:M437))</f>
        <v/>
      </c>
      <c r="O437" s="19" t="n"/>
      <c r="P437" s="15" t="n"/>
      <c r="Q437" s="15" t="n"/>
      <c r="R437" s="15" t="n"/>
      <c r="S437">
        <f>IF(N437="","",MAX(0,MAX($N$2:N437)))</f>
        <v/>
      </c>
      <c r="T437">
        <f>IF(N437="","",S437-N437)</f>
        <v/>
      </c>
      <c r="U437">
        <f>IF(M437="","",IF(M437&lt;0,IF(U436="",1,U436+1),0))</f>
        <v/>
      </c>
    </row>
    <row r="438">
      <c r="A438" s="6">
        <f>IF(B438="","",ROW()-1)</f>
        <v/>
      </c>
      <c r="B438" s="15" t="n"/>
      <c r="C438" s="15" t="n"/>
      <c r="D438" s="15" t="n"/>
      <c r="E438" s="15" t="n"/>
      <c r="F438" s="15" t="n"/>
      <c r="G438" s="16" t="n"/>
      <c r="H438" s="16" t="n"/>
      <c r="I438" s="16" t="n"/>
      <c r="J438" s="15" t="n"/>
      <c r="K438" s="16" t="n"/>
      <c r="L438" s="17">
        <f>IF(OR(G438="",H438=""),"",ABS(G438-H438))</f>
        <v/>
      </c>
      <c r="M438" s="18">
        <f>IF(OR(K438="",L438="",L438=0),"",IF(D438="Short",(G438-K438)/L438,(K438-G438)/L438))</f>
        <v/>
      </c>
      <c r="N438" s="18">
        <f>IF(M438="","",SUM($M$2:M438))</f>
        <v/>
      </c>
      <c r="O438" s="19" t="n"/>
      <c r="P438" s="15" t="n"/>
      <c r="Q438" s="15" t="n"/>
      <c r="R438" s="15" t="n"/>
      <c r="S438">
        <f>IF(N438="","",MAX(0,MAX($N$2:N438)))</f>
        <v/>
      </c>
      <c r="T438">
        <f>IF(N438="","",S438-N438)</f>
        <v/>
      </c>
      <c r="U438">
        <f>IF(M438="","",IF(M438&lt;0,IF(U437="",1,U437+1),0))</f>
        <v/>
      </c>
    </row>
    <row r="439">
      <c r="A439" s="6">
        <f>IF(B439="","",ROW()-1)</f>
        <v/>
      </c>
      <c r="B439" s="15" t="n"/>
      <c r="C439" s="15" t="n"/>
      <c r="D439" s="15" t="n"/>
      <c r="E439" s="15" t="n"/>
      <c r="F439" s="15" t="n"/>
      <c r="G439" s="16" t="n"/>
      <c r="H439" s="16" t="n"/>
      <c r="I439" s="16" t="n"/>
      <c r="J439" s="15" t="n"/>
      <c r="K439" s="16" t="n"/>
      <c r="L439" s="17">
        <f>IF(OR(G439="",H439=""),"",ABS(G439-H439))</f>
        <v/>
      </c>
      <c r="M439" s="18">
        <f>IF(OR(K439="",L439="",L439=0),"",IF(D439="Short",(G439-K439)/L439,(K439-G439)/L439))</f>
        <v/>
      </c>
      <c r="N439" s="18">
        <f>IF(M439="","",SUM($M$2:M439))</f>
        <v/>
      </c>
      <c r="O439" s="19" t="n"/>
      <c r="P439" s="15" t="n"/>
      <c r="Q439" s="15" t="n"/>
      <c r="R439" s="15" t="n"/>
      <c r="S439">
        <f>IF(N439="","",MAX(0,MAX($N$2:N439)))</f>
        <v/>
      </c>
      <c r="T439">
        <f>IF(N439="","",S439-N439)</f>
        <v/>
      </c>
      <c r="U439">
        <f>IF(M439="","",IF(M439&lt;0,IF(U438="",1,U438+1),0))</f>
        <v/>
      </c>
    </row>
    <row r="440">
      <c r="A440" s="6">
        <f>IF(B440="","",ROW()-1)</f>
        <v/>
      </c>
      <c r="B440" s="15" t="n"/>
      <c r="C440" s="15" t="n"/>
      <c r="D440" s="15" t="n"/>
      <c r="E440" s="15" t="n"/>
      <c r="F440" s="15" t="n"/>
      <c r="G440" s="16" t="n"/>
      <c r="H440" s="16" t="n"/>
      <c r="I440" s="16" t="n"/>
      <c r="J440" s="15" t="n"/>
      <c r="K440" s="16" t="n"/>
      <c r="L440" s="17">
        <f>IF(OR(G440="",H440=""),"",ABS(G440-H440))</f>
        <v/>
      </c>
      <c r="M440" s="18">
        <f>IF(OR(K440="",L440="",L440=0),"",IF(D440="Short",(G440-K440)/L440,(K440-G440)/L440))</f>
        <v/>
      </c>
      <c r="N440" s="18">
        <f>IF(M440="","",SUM($M$2:M440))</f>
        <v/>
      </c>
      <c r="O440" s="19" t="n"/>
      <c r="P440" s="15" t="n"/>
      <c r="Q440" s="15" t="n"/>
      <c r="R440" s="15" t="n"/>
      <c r="S440">
        <f>IF(N440="","",MAX(0,MAX($N$2:N440)))</f>
        <v/>
      </c>
      <c r="T440">
        <f>IF(N440="","",S440-N440)</f>
        <v/>
      </c>
      <c r="U440">
        <f>IF(M440="","",IF(M440&lt;0,IF(U439="",1,U439+1),0))</f>
        <v/>
      </c>
    </row>
    <row r="441">
      <c r="A441" s="6">
        <f>IF(B441="","",ROW()-1)</f>
        <v/>
      </c>
      <c r="B441" s="15" t="n"/>
      <c r="C441" s="15" t="n"/>
      <c r="D441" s="15" t="n"/>
      <c r="E441" s="15" t="n"/>
      <c r="F441" s="15" t="n"/>
      <c r="G441" s="16" t="n"/>
      <c r="H441" s="16" t="n"/>
      <c r="I441" s="16" t="n"/>
      <c r="J441" s="15" t="n"/>
      <c r="K441" s="16" t="n"/>
      <c r="L441" s="17">
        <f>IF(OR(G441="",H441=""),"",ABS(G441-H441))</f>
        <v/>
      </c>
      <c r="M441" s="18">
        <f>IF(OR(K441="",L441="",L441=0),"",IF(D441="Short",(G441-K441)/L441,(K441-G441)/L441))</f>
        <v/>
      </c>
      <c r="N441" s="18">
        <f>IF(M441="","",SUM($M$2:M441))</f>
        <v/>
      </c>
      <c r="O441" s="19" t="n"/>
      <c r="P441" s="15" t="n"/>
      <c r="Q441" s="15" t="n"/>
      <c r="R441" s="15" t="n"/>
      <c r="S441">
        <f>IF(N441="","",MAX(0,MAX($N$2:N441)))</f>
        <v/>
      </c>
      <c r="T441">
        <f>IF(N441="","",S441-N441)</f>
        <v/>
      </c>
      <c r="U441">
        <f>IF(M441="","",IF(M441&lt;0,IF(U440="",1,U440+1),0))</f>
        <v/>
      </c>
    </row>
    <row r="442">
      <c r="A442" s="6">
        <f>IF(B442="","",ROW()-1)</f>
        <v/>
      </c>
      <c r="B442" s="15" t="n"/>
      <c r="C442" s="15" t="n"/>
      <c r="D442" s="15" t="n"/>
      <c r="E442" s="15" t="n"/>
      <c r="F442" s="15" t="n"/>
      <c r="G442" s="16" t="n"/>
      <c r="H442" s="16" t="n"/>
      <c r="I442" s="16" t="n"/>
      <c r="J442" s="15" t="n"/>
      <c r="K442" s="16" t="n"/>
      <c r="L442" s="17">
        <f>IF(OR(G442="",H442=""),"",ABS(G442-H442))</f>
        <v/>
      </c>
      <c r="M442" s="18">
        <f>IF(OR(K442="",L442="",L442=0),"",IF(D442="Short",(G442-K442)/L442,(K442-G442)/L442))</f>
        <v/>
      </c>
      <c r="N442" s="18">
        <f>IF(M442="","",SUM($M$2:M442))</f>
        <v/>
      </c>
      <c r="O442" s="19" t="n"/>
      <c r="P442" s="15" t="n"/>
      <c r="Q442" s="15" t="n"/>
      <c r="R442" s="15" t="n"/>
      <c r="S442">
        <f>IF(N442="","",MAX(0,MAX($N$2:N442)))</f>
        <v/>
      </c>
      <c r="T442">
        <f>IF(N442="","",S442-N442)</f>
        <v/>
      </c>
      <c r="U442">
        <f>IF(M442="","",IF(M442&lt;0,IF(U441="",1,U441+1),0))</f>
        <v/>
      </c>
    </row>
    <row r="443">
      <c r="A443" s="6">
        <f>IF(B443="","",ROW()-1)</f>
        <v/>
      </c>
      <c r="B443" s="15" t="n"/>
      <c r="C443" s="15" t="n"/>
      <c r="D443" s="15" t="n"/>
      <c r="E443" s="15" t="n"/>
      <c r="F443" s="15" t="n"/>
      <c r="G443" s="16" t="n"/>
      <c r="H443" s="16" t="n"/>
      <c r="I443" s="16" t="n"/>
      <c r="J443" s="15" t="n"/>
      <c r="K443" s="16" t="n"/>
      <c r="L443" s="17">
        <f>IF(OR(G443="",H443=""),"",ABS(G443-H443))</f>
        <v/>
      </c>
      <c r="M443" s="18">
        <f>IF(OR(K443="",L443="",L443=0),"",IF(D443="Short",(G443-K443)/L443,(K443-G443)/L443))</f>
        <v/>
      </c>
      <c r="N443" s="18">
        <f>IF(M443="","",SUM($M$2:M443))</f>
        <v/>
      </c>
      <c r="O443" s="19" t="n"/>
      <c r="P443" s="15" t="n"/>
      <c r="Q443" s="15" t="n"/>
      <c r="R443" s="15" t="n"/>
      <c r="S443">
        <f>IF(N443="","",MAX(0,MAX($N$2:N443)))</f>
        <v/>
      </c>
      <c r="T443">
        <f>IF(N443="","",S443-N443)</f>
        <v/>
      </c>
      <c r="U443">
        <f>IF(M443="","",IF(M443&lt;0,IF(U442="",1,U442+1),0))</f>
        <v/>
      </c>
    </row>
    <row r="444">
      <c r="A444" s="6">
        <f>IF(B444="","",ROW()-1)</f>
        <v/>
      </c>
      <c r="B444" s="15" t="n"/>
      <c r="C444" s="15" t="n"/>
      <c r="D444" s="15" t="n"/>
      <c r="E444" s="15" t="n"/>
      <c r="F444" s="15" t="n"/>
      <c r="G444" s="16" t="n"/>
      <c r="H444" s="16" t="n"/>
      <c r="I444" s="16" t="n"/>
      <c r="J444" s="15" t="n"/>
      <c r="K444" s="16" t="n"/>
      <c r="L444" s="17">
        <f>IF(OR(G444="",H444=""),"",ABS(G444-H444))</f>
        <v/>
      </c>
      <c r="M444" s="18">
        <f>IF(OR(K444="",L444="",L444=0),"",IF(D444="Short",(G444-K444)/L444,(K444-G444)/L444))</f>
        <v/>
      </c>
      <c r="N444" s="18">
        <f>IF(M444="","",SUM($M$2:M444))</f>
        <v/>
      </c>
      <c r="O444" s="19" t="n"/>
      <c r="P444" s="15" t="n"/>
      <c r="Q444" s="15" t="n"/>
      <c r="R444" s="15" t="n"/>
      <c r="S444">
        <f>IF(N444="","",MAX(0,MAX($N$2:N444)))</f>
        <v/>
      </c>
      <c r="T444">
        <f>IF(N444="","",S444-N444)</f>
        <v/>
      </c>
      <c r="U444">
        <f>IF(M444="","",IF(M444&lt;0,IF(U443="",1,U443+1),0))</f>
        <v/>
      </c>
    </row>
    <row r="445">
      <c r="A445" s="6">
        <f>IF(B445="","",ROW()-1)</f>
        <v/>
      </c>
      <c r="B445" s="15" t="n"/>
      <c r="C445" s="15" t="n"/>
      <c r="D445" s="15" t="n"/>
      <c r="E445" s="15" t="n"/>
      <c r="F445" s="15" t="n"/>
      <c r="G445" s="16" t="n"/>
      <c r="H445" s="16" t="n"/>
      <c r="I445" s="16" t="n"/>
      <c r="J445" s="15" t="n"/>
      <c r="K445" s="16" t="n"/>
      <c r="L445" s="17">
        <f>IF(OR(G445="",H445=""),"",ABS(G445-H445))</f>
        <v/>
      </c>
      <c r="M445" s="18">
        <f>IF(OR(K445="",L445="",L445=0),"",IF(D445="Short",(G445-K445)/L445,(K445-G445)/L445))</f>
        <v/>
      </c>
      <c r="N445" s="18">
        <f>IF(M445="","",SUM($M$2:M445))</f>
        <v/>
      </c>
      <c r="O445" s="19" t="n"/>
      <c r="P445" s="15" t="n"/>
      <c r="Q445" s="15" t="n"/>
      <c r="R445" s="15" t="n"/>
      <c r="S445">
        <f>IF(N445="","",MAX(0,MAX($N$2:N445)))</f>
        <v/>
      </c>
      <c r="T445">
        <f>IF(N445="","",S445-N445)</f>
        <v/>
      </c>
      <c r="U445">
        <f>IF(M445="","",IF(M445&lt;0,IF(U444="",1,U444+1),0))</f>
        <v/>
      </c>
    </row>
    <row r="446">
      <c r="A446" s="6">
        <f>IF(B446="","",ROW()-1)</f>
        <v/>
      </c>
      <c r="B446" s="15" t="n"/>
      <c r="C446" s="15" t="n"/>
      <c r="D446" s="15" t="n"/>
      <c r="E446" s="15" t="n"/>
      <c r="F446" s="15" t="n"/>
      <c r="G446" s="16" t="n"/>
      <c r="H446" s="16" t="n"/>
      <c r="I446" s="16" t="n"/>
      <c r="J446" s="15" t="n"/>
      <c r="K446" s="16" t="n"/>
      <c r="L446" s="17">
        <f>IF(OR(G446="",H446=""),"",ABS(G446-H446))</f>
        <v/>
      </c>
      <c r="M446" s="18">
        <f>IF(OR(K446="",L446="",L446=0),"",IF(D446="Short",(G446-K446)/L446,(K446-G446)/L446))</f>
        <v/>
      </c>
      <c r="N446" s="18">
        <f>IF(M446="","",SUM($M$2:M446))</f>
        <v/>
      </c>
      <c r="O446" s="19" t="n"/>
      <c r="P446" s="15" t="n"/>
      <c r="Q446" s="15" t="n"/>
      <c r="R446" s="15" t="n"/>
      <c r="S446">
        <f>IF(N446="","",MAX(0,MAX($N$2:N446)))</f>
        <v/>
      </c>
      <c r="T446">
        <f>IF(N446="","",S446-N446)</f>
        <v/>
      </c>
      <c r="U446">
        <f>IF(M446="","",IF(M446&lt;0,IF(U445="",1,U445+1),0))</f>
        <v/>
      </c>
    </row>
    <row r="447">
      <c r="A447" s="6">
        <f>IF(B447="","",ROW()-1)</f>
        <v/>
      </c>
      <c r="B447" s="15" t="n"/>
      <c r="C447" s="15" t="n"/>
      <c r="D447" s="15" t="n"/>
      <c r="E447" s="15" t="n"/>
      <c r="F447" s="15" t="n"/>
      <c r="G447" s="16" t="n"/>
      <c r="H447" s="16" t="n"/>
      <c r="I447" s="16" t="n"/>
      <c r="J447" s="15" t="n"/>
      <c r="K447" s="16" t="n"/>
      <c r="L447" s="17">
        <f>IF(OR(G447="",H447=""),"",ABS(G447-H447))</f>
        <v/>
      </c>
      <c r="M447" s="18">
        <f>IF(OR(K447="",L447="",L447=0),"",IF(D447="Short",(G447-K447)/L447,(K447-G447)/L447))</f>
        <v/>
      </c>
      <c r="N447" s="18">
        <f>IF(M447="","",SUM($M$2:M447))</f>
        <v/>
      </c>
      <c r="O447" s="19" t="n"/>
      <c r="P447" s="15" t="n"/>
      <c r="Q447" s="15" t="n"/>
      <c r="R447" s="15" t="n"/>
      <c r="S447">
        <f>IF(N447="","",MAX(0,MAX($N$2:N447)))</f>
        <v/>
      </c>
      <c r="T447">
        <f>IF(N447="","",S447-N447)</f>
        <v/>
      </c>
      <c r="U447">
        <f>IF(M447="","",IF(M447&lt;0,IF(U446="",1,U446+1),0))</f>
        <v/>
      </c>
    </row>
    <row r="448">
      <c r="A448" s="6">
        <f>IF(B448="","",ROW()-1)</f>
        <v/>
      </c>
      <c r="B448" s="15" t="n"/>
      <c r="C448" s="15" t="n"/>
      <c r="D448" s="15" t="n"/>
      <c r="E448" s="15" t="n"/>
      <c r="F448" s="15" t="n"/>
      <c r="G448" s="16" t="n"/>
      <c r="H448" s="16" t="n"/>
      <c r="I448" s="16" t="n"/>
      <c r="J448" s="15" t="n"/>
      <c r="K448" s="16" t="n"/>
      <c r="L448" s="17">
        <f>IF(OR(G448="",H448=""),"",ABS(G448-H448))</f>
        <v/>
      </c>
      <c r="M448" s="18">
        <f>IF(OR(K448="",L448="",L448=0),"",IF(D448="Short",(G448-K448)/L448,(K448-G448)/L448))</f>
        <v/>
      </c>
      <c r="N448" s="18">
        <f>IF(M448="","",SUM($M$2:M448))</f>
        <v/>
      </c>
      <c r="O448" s="19" t="n"/>
      <c r="P448" s="15" t="n"/>
      <c r="Q448" s="15" t="n"/>
      <c r="R448" s="15" t="n"/>
      <c r="S448">
        <f>IF(N448="","",MAX(0,MAX($N$2:N448)))</f>
        <v/>
      </c>
      <c r="T448">
        <f>IF(N448="","",S448-N448)</f>
        <v/>
      </c>
      <c r="U448">
        <f>IF(M448="","",IF(M448&lt;0,IF(U447="",1,U447+1),0))</f>
        <v/>
      </c>
    </row>
    <row r="449">
      <c r="A449" s="6">
        <f>IF(B449="","",ROW()-1)</f>
        <v/>
      </c>
      <c r="B449" s="15" t="n"/>
      <c r="C449" s="15" t="n"/>
      <c r="D449" s="15" t="n"/>
      <c r="E449" s="15" t="n"/>
      <c r="F449" s="15" t="n"/>
      <c r="G449" s="16" t="n"/>
      <c r="H449" s="16" t="n"/>
      <c r="I449" s="16" t="n"/>
      <c r="J449" s="15" t="n"/>
      <c r="K449" s="16" t="n"/>
      <c r="L449" s="17">
        <f>IF(OR(G449="",H449=""),"",ABS(G449-H449))</f>
        <v/>
      </c>
      <c r="M449" s="18">
        <f>IF(OR(K449="",L449="",L449=0),"",IF(D449="Short",(G449-K449)/L449,(K449-G449)/L449))</f>
        <v/>
      </c>
      <c r="N449" s="18">
        <f>IF(M449="","",SUM($M$2:M449))</f>
        <v/>
      </c>
      <c r="O449" s="19" t="n"/>
      <c r="P449" s="15" t="n"/>
      <c r="Q449" s="15" t="n"/>
      <c r="R449" s="15" t="n"/>
      <c r="S449">
        <f>IF(N449="","",MAX(0,MAX($N$2:N449)))</f>
        <v/>
      </c>
      <c r="T449">
        <f>IF(N449="","",S449-N449)</f>
        <v/>
      </c>
      <c r="U449">
        <f>IF(M449="","",IF(M449&lt;0,IF(U448="",1,U448+1),0))</f>
        <v/>
      </c>
    </row>
    <row r="450">
      <c r="A450" s="6">
        <f>IF(B450="","",ROW()-1)</f>
        <v/>
      </c>
      <c r="B450" s="15" t="n"/>
      <c r="C450" s="15" t="n"/>
      <c r="D450" s="15" t="n"/>
      <c r="E450" s="15" t="n"/>
      <c r="F450" s="15" t="n"/>
      <c r="G450" s="16" t="n"/>
      <c r="H450" s="16" t="n"/>
      <c r="I450" s="16" t="n"/>
      <c r="J450" s="15" t="n"/>
      <c r="K450" s="16" t="n"/>
      <c r="L450" s="17">
        <f>IF(OR(G450="",H450=""),"",ABS(G450-H450))</f>
        <v/>
      </c>
      <c r="M450" s="18">
        <f>IF(OR(K450="",L450="",L450=0),"",IF(D450="Short",(G450-K450)/L450,(K450-G450)/L450))</f>
        <v/>
      </c>
      <c r="N450" s="18">
        <f>IF(M450="","",SUM($M$2:M450))</f>
        <v/>
      </c>
      <c r="O450" s="19" t="n"/>
      <c r="P450" s="15" t="n"/>
      <c r="Q450" s="15" t="n"/>
      <c r="R450" s="15" t="n"/>
      <c r="S450">
        <f>IF(N450="","",MAX(0,MAX($N$2:N450)))</f>
        <v/>
      </c>
      <c r="T450">
        <f>IF(N450="","",S450-N450)</f>
        <v/>
      </c>
      <c r="U450">
        <f>IF(M450="","",IF(M450&lt;0,IF(U449="",1,U449+1),0))</f>
        <v/>
      </c>
    </row>
    <row r="451">
      <c r="A451" s="6">
        <f>IF(B451="","",ROW()-1)</f>
        <v/>
      </c>
      <c r="B451" s="15" t="n"/>
      <c r="C451" s="15" t="n"/>
      <c r="D451" s="15" t="n"/>
      <c r="E451" s="15" t="n"/>
      <c r="F451" s="15" t="n"/>
      <c r="G451" s="16" t="n"/>
      <c r="H451" s="16" t="n"/>
      <c r="I451" s="16" t="n"/>
      <c r="J451" s="15" t="n"/>
      <c r="K451" s="16" t="n"/>
      <c r="L451" s="17">
        <f>IF(OR(G451="",H451=""),"",ABS(G451-H451))</f>
        <v/>
      </c>
      <c r="M451" s="18">
        <f>IF(OR(K451="",L451="",L451=0),"",IF(D451="Short",(G451-K451)/L451,(K451-G451)/L451))</f>
        <v/>
      </c>
      <c r="N451" s="18">
        <f>IF(M451="","",SUM($M$2:M451))</f>
        <v/>
      </c>
      <c r="O451" s="19" t="n"/>
      <c r="P451" s="15" t="n"/>
      <c r="Q451" s="15" t="n"/>
      <c r="R451" s="15" t="n"/>
      <c r="S451">
        <f>IF(N451="","",MAX(0,MAX($N$2:N451)))</f>
        <v/>
      </c>
      <c r="T451">
        <f>IF(N451="","",S451-N451)</f>
        <v/>
      </c>
      <c r="U451">
        <f>IF(M451="","",IF(M451&lt;0,IF(U450="",1,U450+1),0))</f>
        <v/>
      </c>
    </row>
    <row r="452">
      <c r="A452" s="6">
        <f>IF(B452="","",ROW()-1)</f>
        <v/>
      </c>
      <c r="B452" s="15" t="n"/>
      <c r="C452" s="15" t="n"/>
      <c r="D452" s="15" t="n"/>
      <c r="E452" s="15" t="n"/>
      <c r="F452" s="15" t="n"/>
      <c r="G452" s="16" t="n"/>
      <c r="H452" s="16" t="n"/>
      <c r="I452" s="16" t="n"/>
      <c r="J452" s="15" t="n"/>
      <c r="K452" s="16" t="n"/>
      <c r="L452" s="17">
        <f>IF(OR(G452="",H452=""),"",ABS(G452-H452))</f>
        <v/>
      </c>
      <c r="M452" s="18">
        <f>IF(OR(K452="",L452="",L452=0),"",IF(D452="Short",(G452-K452)/L452,(K452-G452)/L452))</f>
        <v/>
      </c>
      <c r="N452" s="18">
        <f>IF(M452="","",SUM($M$2:M452))</f>
        <v/>
      </c>
      <c r="O452" s="19" t="n"/>
      <c r="P452" s="15" t="n"/>
      <c r="Q452" s="15" t="n"/>
      <c r="R452" s="15" t="n"/>
      <c r="S452">
        <f>IF(N452="","",MAX(0,MAX($N$2:N452)))</f>
        <v/>
      </c>
      <c r="T452">
        <f>IF(N452="","",S452-N452)</f>
        <v/>
      </c>
      <c r="U452">
        <f>IF(M452="","",IF(M452&lt;0,IF(U451="",1,U451+1),0))</f>
        <v/>
      </c>
    </row>
    <row r="453">
      <c r="A453" s="6">
        <f>IF(B453="","",ROW()-1)</f>
        <v/>
      </c>
      <c r="B453" s="15" t="n"/>
      <c r="C453" s="15" t="n"/>
      <c r="D453" s="15" t="n"/>
      <c r="E453" s="15" t="n"/>
      <c r="F453" s="15" t="n"/>
      <c r="G453" s="16" t="n"/>
      <c r="H453" s="16" t="n"/>
      <c r="I453" s="16" t="n"/>
      <c r="J453" s="15" t="n"/>
      <c r="K453" s="16" t="n"/>
      <c r="L453" s="17">
        <f>IF(OR(G453="",H453=""),"",ABS(G453-H453))</f>
        <v/>
      </c>
      <c r="M453" s="18">
        <f>IF(OR(K453="",L453="",L453=0),"",IF(D453="Short",(G453-K453)/L453,(K453-G453)/L453))</f>
        <v/>
      </c>
      <c r="N453" s="18">
        <f>IF(M453="","",SUM($M$2:M453))</f>
        <v/>
      </c>
      <c r="O453" s="19" t="n"/>
      <c r="P453" s="15" t="n"/>
      <c r="Q453" s="15" t="n"/>
      <c r="R453" s="15" t="n"/>
      <c r="S453">
        <f>IF(N453="","",MAX(0,MAX($N$2:N453)))</f>
        <v/>
      </c>
      <c r="T453">
        <f>IF(N453="","",S453-N453)</f>
        <v/>
      </c>
      <c r="U453">
        <f>IF(M453="","",IF(M453&lt;0,IF(U452="",1,U452+1),0))</f>
        <v/>
      </c>
    </row>
    <row r="454">
      <c r="A454" s="6">
        <f>IF(B454="","",ROW()-1)</f>
        <v/>
      </c>
      <c r="B454" s="15" t="n"/>
      <c r="C454" s="15" t="n"/>
      <c r="D454" s="15" t="n"/>
      <c r="E454" s="15" t="n"/>
      <c r="F454" s="15" t="n"/>
      <c r="G454" s="16" t="n"/>
      <c r="H454" s="16" t="n"/>
      <c r="I454" s="16" t="n"/>
      <c r="J454" s="15" t="n"/>
      <c r="K454" s="16" t="n"/>
      <c r="L454" s="17">
        <f>IF(OR(G454="",H454=""),"",ABS(G454-H454))</f>
        <v/>
      </c>
      <c r="M454" s="18">
        <f>IF(OR(K454="",L454="",L454=0),"",IF(D454="Short",(G454-K454)/L454,(K454-G454)/L454))</f>
        <v/>
      </c>
      <c r="N454" s="18">
        <f>IF(M454="","",SUM($M$2:M454))</f>
        <v/>
      </c>
      <c r="O454" s="19" t="n"/>
      <c r="P454" s="15" t="n"/>
      <c r="Q454" s="15" t="n"/>
      <c r="R454" s="15" t="n"/>
      <c r="S454">
        <f>IF(N454="","",MAX(0,MAX($N$2:N454)))</f>
        <v/>
      </c>
      <c r="T454">
        <f>IF(N454="","",S454-N454)</f>
        <v/>
      </c>
      <c r="U454">
        <f>IF(M454="","",IF(M454&lt;0,IF(U453="",1,U453+1),0))</f>
        <v/>
      </c>
    </row>
    <row r="455">
      <c r="A455" s="6">
        <f>IF(B455="","",ROW()-1)</f>
        <v/>
      </c>
      <c r="B455" s="15" t="n"/>
      <c r="C455" s="15" t="n"/>
      <c r="D455" s="15" t="n"/>
      <c r="E455" s="15" t="n"/>
      <c r="F455" s="15" t="n"/>
      <c r="G455" s="16" t="n"/>
      <c r="H455" s="16" t="n"/>
      <c r="I455" s="16" t="n"/>
      <c r="J455" s="15" t="n"/>
      <c r="K455" s="16" t="n"/>
      <c r="L455" s="17">
        <f>IF(OR(G455="",H455=""),"",ABS(G455-H455))</f>
        <v/>
      </c>
      <c r="M455" s="18">
        <f>IF(OR(K455="",L455="",L455=0),"",IF(D455="Short",(G455-K455)/L455,(K455-G455)/L455))</f>
        <v/>
      </c>
      <c r="N455" s="18">
        <f>IF(M455="","",SUM($M$2:M455))</f>
        <v/>
      </c>
      <c r="O455" s="19" t="n"/>
      <c r="P455" s="15" t="n"/>
      <c r="Q455" s="15" t="n"/>
      <c r="R455" s="15" t="n"/>
      <c r="S455">
        <f>IF(N455="","",MAX(0,MAX($N$2:N455)))</f>
        <v/>
      </c>
      <c r="T455">
        <f>IF(N455="","",S455-N455)</f>
        <v/>
      </c>
      <c r="U455">
        <f>IF(M455="","",IF(M455&lt;0,IF(U454="",1,U454+1),0))</f>
        <v/>
      </c>
    </row>
    <row r="456">
      <c r="A456" s="6">
        <f>IF(B456="","",ROW()-1)</f>
        <v/>
      </c>
      <c r="B456" s="15" t="n"/>
      <c r="C456" s="15" t="n"/>
      <c r="D456" s="15" t="n"/>
      <c r="E456" s="15" t="n"/>
      <c r="F456" s="15" t="n"/>
      <c r="G456" s="16" t="n"/>
      <c r="H456" s="16" t="n"/>
      <c r="I456" s="16" t="n"/>
      <c r="J456" s="15" t="n"/>
      <c r="K456" s="16" t="n"/>
      <c r="L456" s="17">
        <f>IF(OR(G456="",H456=""),"",ABS(G456-H456))</f>
        <v/>
      </c>
      <c r="M456" s="18">
        <f>IF(OR(K456="",L456="",L456=0),"",IF(D456="Short",(G456-K456)/L456,(K456-G456)/L456))</f>
        <v/>
      </c>
      <c r="N456" s="18">
        <f>IF(M456="","",SUM($M$2:M456))</f>
        <v/>
      </c>
      <c r="O456" s="19" t="n"/>
      <c r="P456" s="15" t="n"/>
      <c r="Q456" s="15" t="n"/>
      <c r="R456" s="15" t="n"/>
      <c r="S456">
        <f>IF(N456="","",MAX(0,MAX($N$2:N456)))</f>
        <v/>
      </c>
      <c r="T456">
        <f>IF(N456="","",S456-N456)</f>
        <v/>
      </c>
      <c r="U456">
        <f>IF(M456="","",IF(M456&lt;0,IF(U455="",1,U455+1),0))</f>
        <v/>
      </c>
    </row>
    <row r="457">
      <c r="A457" s="6">
        <f>IF(B457="","",ROW()-1)</f>
        <v/>
      </c>
      <c r="B457" s="15" t="n"/>
      <c r="C457" s="15" t="n"/>
      <c r="D457" s="15" t="n"/>
      <c r="E457" s="15" t="n"/>
      <c r="F457" s="15" t="n"/>
      <c r="G457" s="16" t="n"/>
      <c r="H457" s="16" t="n"/>
      <c r="I457" s="16" t="n"/>
      <c r="J457" s="15" t="n"/>
      <c r="K457" s="16" t="n"/>
      <c r="L457" s="17">
        <f>IF(OR(G457="",H457=""),"",ABS(G457-H457))</f>
        <v/>
      </c>
      <c r="M457" s="18">
        <f>IF(OR(K457="",L457="",L457=0),"",IF(D457="Short",(G457-K457)/L457,(K457-G457)/L457))</f>
        <v/>
      </c>
      <c r="N457" s="18">
        <f>IF(M457="","",SUM($M$2:M457))</f>
        <v/>
      </c>
      <c r="O457" s="19" t="n"/>
      <c r="P457" s="15" t="n"/>
      <c r="Q457" s="15" t="n"/>
      <c r="R457" s="15" t="n"/>
      <c r="S457">
        <f>IF(N457="","",MAX(0,MAX($N$2:N457)))</f>
        <v/>
      </c>
      <c r="T457">
        <f>IF(N457="","",S457-N457)</f>
        <v/>
      </c>
      <c r="U457">
        <f>IF(M457="","",IF(M457&lt;0,IF(U456="",1,U456+1),0))</f>
        <v/>
      </c>
    </row>
    <row r="458">
      <c r="A458" s="6">
        <f>IF(B458="","",ROW()-1)</f>
        <v/>
      </c>
      <c r="B458" s="15" t="n"/>
      <c r="C458" s="15" t="n"/>
      <c r="D458" s="15" t="n"/>
      <c r="E458" s="15" t="n"/>
      <c r="F458" s="15" t="n"/>
      <c r="G458" s="16" t="n"/>
      <c r="H458" s="16" t="n"/>
      <c r="I458" s="16" t="n"/>
      <c r="J458" s="15" t="n"/>
      <c r="K458" s="16" t="n"/>
      <c r="L458" s="17">
        <f>IF(OR(G458="",H458=""),"",ABS(G458-H458))</f>
        <v/>
      </c>
      <c r="M458" s="18">
        <f>IF(OR(K458="",L458="",L458=0),"",IF(D458="Short",(G458-K458)/L458,(K458-G458)/L458))</f>
        <v/>
      </c>
      <c r="N458" s="18">
        <f>IF(M458="","",SUM($M$2:M458))</f>
        <v/>
      </c>
      <c r="O458" s="19" t="n"/>
      <c r="P458" s="15" t="n"/>
      <c r="Q458" s="15" t="n"/>
      <c r="R458" s="15" t="n"/>
      <c r="S458">
        <f>IF(N458="","",MAX(0,MAX($N$2:N458)))</f>
        <v/>
      </c>
      <c r="T458">
        <f>IF(N458="","",S458-N458)</f>
        <v/>
      </c>
      <c r="U458">
        <f>IF(M458="","",IF(M458&lt;0,IF(U457="",1,U457+1),0))</f>
        <v/>
      </c>
    </row>
    <row r="459">
      <c r="A459" s="6">
        <f>IF(B459="","",ROW()-1)</f>
        <v/>
      </c>
      <c r="B459" s="15" t="n"/>
      <c r="C459" s="15" t="n"/>
      <c r="D459" s="15" t="n"/>
      <c r="E459" s="15" t="n"/>
      <c r="F459" s="15" t="n"/>
      <c r="G459" s="16" t="n"/>
      <c r="H459" s="16" t="n"/>
      <c r="I459" s="16" t="n"/>
      <c r="J459" s="15" t="n"/>
      <c r="K459" s="16" t="n"/>
      <c r="L459" s="17">
        <f>IF(OR(G459="",H459=""),"",ABS(G459-H459))</f>
        <v/>
      </c>
      <c r="M459" s="18">
        <f>IF(OR(K459="",L459="",L459=0),"",IF(D459="Short",(G459-K459)/L459,(K459-G459)/L459))</f>
        <v/>
      </c>
      <c r="N459" s="18">
        <f>IF(M459="","",SUM($M$2:M459))</f>
        <v/>
      </c>
      <c r="O459" s="19" t="n"/>
      <c r="P459" s="15" t="n"/>
      <c r="Q459" s="15" t="n"/>
      <c r="R459" s="15" t="n"/>
      <c r="S459">
        <f>IF(N459="","",MAX(0,MAX($N$2:N459)))</f>
        <v/>
      </c>
      <c r="T459">
        <f>IF(N459="","",S459-N459)</f>
        <v/>
      </c>
      <c r="U459">
        <f>IF(M459="","",IF(M459&lt;0,IF(U458="",1,U458+1),0))</f>
        <v/>
      </c>
    </row>
    <row r="460">
      <c r="A460" s="6">
        <f>IF(B460="","",ROW()-1)</f>
        <v/>
      </c>
      <c r="B460" s="15" t="n"/>
      <c r="C460" s="15" t="n"/>
      <c r="D460" s="15" t="n"/>
      <c r="E460" s="15" t="n"/>
      <c r="F460" s="15" t="n"/>
      <c r="G460" s="16" t="n"/>
      <c r="H460" s="16" t="n"/>
      <c r="I460" s="16" t="n"/>
      <c r="J460" s="15" t="n"/>
      <c r="K460" s="16" t="n"/>
      <c r="L460" s="17">
        <f>IF(OR(G460="",H460=""),"",ABS(G460-H460))</f>
        <v/>
      </c>
      <c r="M460" s="18">
        <f>IF(OR(K460="",L460="",L460=0),"",IF(D460="Short",(G460-K460)/L460,(K460-G460)/L460))</f>
        <v/>
      </c>
      <c r="N460" s="18">
        <f>IF(M460="","",SUM($M$2:M460))</f>
        <v/>
      </c>
      <c r="O460" s="19" t="n"/>
      <c r="P460" s="15" t="n"/>
      <c r="Q460" s="15" t="n"/>
      <c r="R460" s="15" t="n"/>
      <c r="S460">
        <f>IF(N460="","",MAX(0,MAX($N$2:N460)))</f>
        <v/>
      </c>
      <c r="T460">
        <f>IF(N460="","",S460-N460)</f>
        <v/>
      </c>
      <c r="U460">
        <f>IF(M460="","",IF(M460&lt;0,IF(U459="",1,U459+1),0))</f>
        <v/>
      </c>
    </row>
    <row r="461">
      <c r="A461" s="6">
        <f>IF(B461="","",ROW()-1)</f>
        <v/>
      </c>
      <c r="B461" s="15" t="n"/>
      <c r="C461" s="15" t="n"/>
      <c r="D461" s="15" t="n"/>
      <c r="E461" s="15" t="n"/>
      <c r="F461" s="15" t="n"/>
      <c r="G461" s="16" t="n"/>
      <c r="H461" s="16" t="n"/>
      <c r="I461" s="16" t="n"/>
      <c r="J461" s="15" t="n"/>
      <c r="K461" s="16" t="n"/>
      <c r="L461" s="17">
        <f>IF(OR(G461="",H461=""),"",ABS(G461-H461))</f>
        <v/>
      </c>
      <c r="M461" s="18">
        <f>IF(OR(K461="",L461="",L461=0),"",IF(D461="Short",(G461-K461)/L461,(K461-G461)/L461))</f>
        <v/>
      </c>
      <c r="N461" s="18">
        <f>IF(M461="","",SUM($M$2:M461))</f>
        <v/>
      </c>
      <c r="O461" s="19" t="n"/>
      <c r="P461" s="15" t="n"/>
      <c r="Q461" s="15" t="n"/>
      <c r="R461" s="15" t="n"/>
      <c r="S461">
        <f>IF(N461="","",MAX(0,MAX($N$2:N461)))</f>
        <v/>
      </c>
      <c r="T461">
        <f>IF(N461="","",S461-N461)</f>
        <v/>
      </c>
      <c r="U461">
        <f>IF(M461="","",IF(M461&lt;0,IF(U460="",1,U460+1),0))</f>
        <v/>
      </c>
    </row>
    <row r="462">
      <c r="A462" s="6">
        <f>IF(B462="","",ROW()-1)</f>
        <v/>
      </c>
      <c r="B462" s="15" t="n"/>
      <c r="C462" s="15" t="n"/>
      <c r="D462" s="15" t="n"/>
      <c r="E462" s="15" t="n"/>
      <c r="F462" s="15" t="n"/>
      <c r="G462" s="16" t="n"/>
      <c r="H462" s="16" t="n"/>
      <c r="I462" s="16" t="n"/>
      <c r="J462" s="15" t="n"/>
      <c r="K462" s="16" t="n"/>
      <c r="L462" s="17">
        <f>IF(OR(G462="",H462=""),"",ABS(G462-H462))</f>
        <v/>
      </c>
      <c r="M462" s="18">
        <f>IF(OR(K462="",L462="",L462=0),"",IF(D462="Short",(G462-K462)/L462,(K462-G462)/L462))</f>
        <v/>
      </c>
      <c r="N462" s="18">
        <f>IF(M462="","",SUM($M$2:M462))</f>
        <v/>
      </c>
      <c r="O462" s="19" t="n"/>
      <c r="P462" s="15" t="n"/>
      <c r="Q462" s="15" t="n"/>
      <c r="R462" s="15" t="n"/>
      <c r="S462">
        <f>IF(N462="","",MAX(0,MAX($N$2:N462)))</f>
        <v/>
      </c>
      <c r="T462">
        <f>IF(N462="","",S462-N462)</f>
        <v/>
      </c>
      <c r="U462">
        <f>IF(M462="","",IF(M462&lt;0,IF(U461="",1,U461+1),0))</f>
        <v/>
      </c>
    </row>
    <row r="463">
      <c r="A463" s="6">
        <f>IF(B463="","",ROW()-1)</f>
        <v/>
      </c>
      <c r="B463" s="15" t="n"/>
      <c r="C463" s="15" t="n"/>
      <c r="D463" s="15" t="n"/>
      <c r="E463" s="15" t="n"/>
      <c r="F463" s="15" t="n"/>
      <c r="G463" s="16" t="n"/>
      <c r="H463" s="16" t="n"/>
      <c r="I463" s="16" t="n"/>
      <c r="J463" s="15" t="n"/>
      <c r="K463" s="16" t="n"/>
      <c r="L463" s="17">
        <f>IF(OR(G463="",H463=""),"",ABS(G463-H463))</f>
        <v/>
      </c>
      <c r="M463" s="18">
        <f>IF(OR(K463="",L463="",L463=0),"",IF(D463="Short",(G463-K463)/L463,(K463-G463)/L463))</f>
        <v/>
      </c>
      <c r="N463" s="18">
        <f>IF(M463="","",SUM($M$2:M463))</f>
        <v/>
      </c>
      <c r="O463" s="19" t="n"/>
      <c r="P463" s="15" t="n"/>
      <c r="Q463" s="15" t="n"/>
      <c r="R463" s="15" t="n"/>
      <c r="S463">
        <f>IF(N463="","",MAX(0,MAX($N$2:N463)))</f>
        <v/>
      </c>
      <c r="T463">
        <f>IF(N463="","",S463-N463)</f>
        <v/>
      </c>
      <c r="U463">
        <f>IF(M463="","",IF(M463&lt;0,IF(U462="",1,U462+1),0))</f>
        <v/>
      </c>
    </row>
    <row r="464">
      <c r="A464" s="6">
        <f>IF(B464="","",ROW()-1)</f>
        <v/>
      </c>
      <c r="B464" s="15" t="n"/>
      <c r="C464" s="15" t="n"/>
      <c r="D464" s="15" t="n"/>
      <c r="E464" s="15" t="n"/>
      <c r="F464" s="15" t="n"/>
      <c r="G464" s="16" t="n"/>
      <c r="H464" s="16" t="n"/>
      <c r="I464" s="16" t="n"/>
      <c r="J464" s="15" t="n"/>
      <c r="K464" s="16" t="n"/>
      <c r="L464" s="17">
        <f>IF(OR(G464="",H464=""),"",ABS(G464-H464))</f>
        <v/>
      </c>
      <c r="M464" s="18">
        <f>IF(OR(K464="",L464="",L464=0),"",IF(D464="Short",(G464-K464)/L464,(K464-G464)/L464))</f>
        <v/>
      </c>
      <c r="N464" s="18">
        <f>IF(M464="","",SUM($M$2:M464))</f>
        <v/>
      </c>
      <c r="O464" s="19" t="n"/>
      <c r="P464" s="15" t="n"/>
      <c r="Q464" s="15" t="n"/>
      <c r="R464" s="15" t="n"/>
      <c r="S464">
        <f>IF(N464="","",MAX(0,MAX($N$2:N464)))</f>
        <v/>
      </c>
      <c r="T464">
        <f>IF(N464="","",S464-N464)</f>
        <v/>
      </c>
      <c r="U464">
        <f>IF(M464="","",IF(M464&lt;0,IF(U463="",1,U463+1),0))</f>
        <v/>
      </c>
    </row>
    <row r="465">
      <c r="A465" s="6">
        <f>IF(B465="","",ROW()-1)</f>
        <v/>
      </c>
      <c r="B465" s="15" t="n"/>
      <c r="C465" s="15" t="n"/>
      <c r="D465" s="15" t="n"/>
      <c r="E465" s="15" t="n"/>
      <c r="F465" s="15" t="n"/>
      <c r="G465" s="16" t="n"/>
      <c r="H465" s="16" t="n"/>
      <c r="I465" s="16" t="n"/>
      <c r="J465" s="15" t="n"/>
      <c r="K465" s="16" t="n"/>
      <c r="L465" s="17">
        <f>IF(OR(G465="",H465=""),"",ABS(G465-H465))</f>
        <v/>
      </c>
      <c r="M465" s="18">
        <f>IF(OR(K465="",L465="",L465=0),"",IF(D465="Short",(G465-K465)/L465,(K465-G465)/L465))</f>
        <v/>
      </c>
      <c r="N465" s="18">
        <f>IF(M465="","",SUM($M$2:M465))</f>
        <v/>
      </c>
      <c r="O465" s="19" t="n"/>
      <c r="P465" s="15" t="n"/>
      <c r="Q465" s="15" t="n"/>
      <c r="R465" s="15" t="n"/>
      <c r="S465">
        <f>IF(N465="","",MAX(0,MAX($N$2:N465)))</f>
        <v/>
      </c>
      <c r="T465">
        <f>IF(N465="","",S465-N465)</f>
        <v/>
      </c>
      <c r="U465">
        <f>IF(M465="","",IF(M465&lt;0,IF(U464="",1,U464+1),0))</f>
        <v/>
      </c>
    </row>
    <row r="466">
      <c r="A466" s="6">
        <f>IF(B466="","",ROW()-1)</f>
        <v/>
      </c>
      <c r="B466" s="15" t="n"/>
      <c r="C466" s="15" t="n"/>
      <c r="D466" s="15" t="n"/>
      <c r="E466" s="15" t="n"/>
      <c r="F466" s="15" t="n"/>
      <c r="G466" s="16" t="n"/>
      <c r="H466" s="16" t="n"/>
      <c r="I466" s="16" t="n"/>
      <c r="J466" s="15" t="n"/>
      <c r="K466" s="16" t="n"/>
      <c r="L466" s="17">
        <f>IF(OR(G466="",H466=""),"",ABS(G466-H466))</f>
        <v/>
      </c>
      <c r="M466" s="18">
        <f>IF(OR(K466="",L466="",L466=0),"",IF(D466="Short",(G466-K466)/L466,(K466-G466)/L466))</f>
        <v/>
      </c>
      <c r="N466" s="18">
        <f>IF(M466="","",SUM($M$2:M466))</f>
        <v/>
      </c>
      <c r="O466" s="19" t="n"/>
      <c r="P466" s="15" t="n"/>
      <c r="Q466" s="15" t="n"/>
      <c r="R466" s="15" t="n"/>
      <c r="S466">
        <f>IF(N466="","",MAX(0,MAX($N$2:N466)))</f>
        <v/>
      </c>
      <c r="T466">
        <f>IF(N466="","",S466-N466)</f>
        <v/>
      </c>
      <c r="U466">
        <f>IF(M466="","",IF(M466&lt;0,IF(U465="",1,U465+1),0))</f>
        <v/>
      </c>
    </row>
    <row r="467">
      <c r="A467" s="6">
        <f>IF(B467="","",ROW()-1)</f>
        <v/>
      </c>
      <c r="B467" s="15" t="n"/>
      <c r="C467" s="15" t="n"/>
      <c r="D467" s="15" t="n"/>
      <c r="E467" s="15" t="n"/>
      <c r="F467" s="15" t="n"/>
      <c r="G467" s="16" t="n"/>
      <c r="H467" s="16" t="n"/>
      <c r="I467" s="16" t="n"/>
      <c r="J467" s="15" t="n"/>
      <c r="K467" s="16" t="n"/>
      <c r="L467" s="17">
        <f>IF(OR(G467="",H467=""),"",ABS(G467-H467))</f>
        <v/>
      </c>
      <c r="M467" s="18">
        <f>IF(OR(K467="",L467="",L467=0),"",IF(D467="Short",(G467-K467)/L467,(K467-G467)/L467))</f>
        <v/>
      </c>
      <c r="N467" s="18">
        <f>IF(M467="","",SUM($M$2:M467))</f>
        <v/>
      </c>
      <c r="O467" s="19" t="n"/>
      <c r="P467" s="15" t="n"/>
      <c r="Q467" s="15" t="n"/>
      <c r="R467" s="15" t="n"/>
      <c r="S467">
        <f>IF(N467="","",MAX(0,MAX($N$2:N467)))</f>
        <v/>
      </c>
      <c r="T467">
        <f>IF(N467="","",S467-N467)</f>
        <v/>
      </c>
      <c r="U467">
        <f>IF(M467="","",IF(M467&lt;0,IF(U466="",1,U466+1),0))</f>
        <v/>
      </c>
    </row>
    <row r="468">
      <c r="A468" s="6">
        <f>IF(B468="","",ROW()-1)</f>
        <v/>
      </c>
      <c r="B468" s="15" t="n"/>
      <c r="C468" s="15" t="n"/>
      <c r="D468" s="15" t="n"/>
      <c r="E468" s="15" t="n"/>
      <c r="F468" s="15" t="n"/>
      <c r="G468" s="16" t="n"/>
      <c r="H468" s="16" t="n"/>
      <c r="I468" s="16" t="n"/>
      <c r="J468" s="15" t="n"/>
      <c r="K468" s="16" t="n"/>
      <c r="L468" s="17">
        <f>IF(OR(G468="",H468=""),"",ABS(G468-H468))</f>
        <v/>
      </c>
      <c r="M468" s="18">
        <f>IF(OR(K468="",L468="",L468=0),"",IF(D468="Short",(G468-K468)/L468,(K468-G468)/L468))</f>
        <v/>
      </c>
      <c r="N468" s="18">
        <f>IF(M468="","",SUM($M$2:M468))</f>
        <v/>
      </c>
      <c r="O468" s="19" t="n"/>
      <c r="P468" s="15" t="n"/>
      <c r="Q468" s="15" t="n"/>
      <c r="R468" s="15" t="n"/>
      <c r="S468">
        <f>IF(N468="","",MAX(0,MAX($N$2:N468)))</f>
        <v/>
      </c>
      <c r="T468">
        <f>IF(N468="","",S468-N468)</f>
        <v/>
      </c>
      <c r="U468">
        <f>IF(M468="","",IF(M468&lt;0,IF(U467="",1,U467+1),0))</f>
        <v/>
      </c>
    </row>
    <row r="469">
      <c r="A469" s="6">
        <f>IF(B469="","",ROW()-1)</f>
        <v/>
      </c>
      <c r="B469" s="15" t="n"/>
      <c r="C469" s="15" t="n"/>
      <c r="D469" s="15" t="n"/>
      <c r="E469" s="15" t="n"/>
      <c r="F469" s="15" t="n"/>
      <c r="G469" s="16" t="n"/>
      <c r="H469" s="16" t="n"/>
      <c r="I469" s="16" t="n"/>
      <c r="J469" s="15" t="n"/>
      <c r="K469" s="16" t="n"/>
      <c r="L469" s="17">
        <f>IF(OR(G469="",H469=""),"",ABS(G469-H469))</f>
        <v/>
      </c>
      <c r="M469" s="18">
        <f>IF(OR(K469="",L469="",L469=0),"",IF(D469="Short",(G469-K469)/L469,(K469-G469)/L469))</f>
        <v/>
      </c>
      <c r="N469" s="18">
        <f>IF(M469="","",SUM($M$2:M469))</f>
        <v/>
      </c>
      <c r="O469" s="19" t="n"/>
      <c r="P469" s="15" t="n"/>
      <c r="Q469" s="15" t="n"/>
      <c r="R469" s="15" t="n"/>
      <c r="S469">
        <f>IF(N469="","",MAX(0,MAX($N$2:N469)))</f>
        <v/>
      </c>
      <c r="T469">
        <f>IF(N469="","",S469-N469)</f>
        <v/>
      </c>
      <c r="U469">
        <f>IF(M469="","",IF(M469&lt;0,IF(U468="",1,U468+1),0))</f>
        <v/>
      </c>
    </row>
    <row r="470">
      <c r="A470" s="6">
        <f>IF(B470="","",ROW()-1)</f>
        <v/>
      </c>
      <c r="B470" s="15" t="n"/>
      <c r="C470" s="15" t="n"/>
      <c r="D470" s="15" t="n"/>
      <c r="E470" s="15" t="n"/>
      <c r="F470" s="15" t="n"/>
      <c r="G470" s="16" t="n"/>
      <c r="H470" s="16" t="n"/>
      <c r="I470" s="16" t="n"/>
      <c r="J470" s="15" t="n"/>
      <c r="K470" s="16" t="n"/>
      <c r="L470" s="17">
        <f>IF(OR(G470="",H470=""),"",ABS(G470-H470))</f>
        <v/>
      </c>
      <c r="M470" s="18">
        <f>IF(OR(K470="",L470="",L470=0),"",IF(D470="Short",(G470-K470)/L470,(K470-G470)/L470))</f>
        <v/>
      </c>
      <c r="N470" s="18">
        <f>IF(M470="","",SUM($M$2:M470))</f>
        <v/>
      </c>
      <c r="O470" s="19" t="n"/>
      <c r="P470" s="15" t="n"/>
      <c r="Q470" s="15" t="n"/>
      <c r="R470" s="15" t="n"/>
      <c r="S470">
        <f>IF(N470="","",MAX(0,MAX($N$2:N470)))</f>
        <v/>
      </c>
      <c r="T470">
        <f>IF(N470="","",S470-N470)</f>
        <v/>
      </c>
      <c r="U470">
        <f>IF(M470="","",IF(M470&lt;0,IF(U469="",1,U469+1),0))</f>
        <v/>
      </c>
    </row>
    <row r="471">
      <c r="A471" s="6">
        <f>IF(B471="","",ROW()-1)</f>
        <v/>
      </c>
      <c r="B471" s="15" t="n"/>
      <c r="C471" s="15" t="n"/>
      <c r="D471" s="15" t="n"/>
      <c r="E471" s="15" t="n"/>
      <c r="F471" s="15" t="n"/>
      <c r="G471" s="16" t="n"/>
      <c r="H471" s="16" t="n"/>
      <c r="I471" s="16" t="n"/>
      <c r="J471" s="15" t="n"/>
      <c r="K471" s="16" t="n"/>
      <c r="L471" s="17">
        <f>IF(OR(G471="",H471=""),"",ABS(G471-H471))</f>
        <v/>
      </c>
      <c r="M471" s="18">
        <f>IF(OR(K471="",L471="",L471=0),"",IF(D471="Short",(G471-K471)/L471,(K471-G471)/L471))</f>
        <v/>
      </c>
      <c r="N471" s="18">
        <f>IF(M471="","",SUM($M$2:M471))</f>
        <v/>
      </c>
      <c r="O471" s="19" t="n"/>
      <c r="P471" s="15" t="n"/>
      <c r="Q471" s="15" t="n"/>
      <c r="R471" s="15" t="n"/>
      <c r="S471">
        <f>IF(N471="","",MAX(0,MAX($N$2:N471)))</f>
        <v/>
      </c>
      <c r="T471">
        <f>IF(N471="","",S471-N471)</f>
        <v/>
      </c>
      <c r="U471">
        <f>IF(M471="","",IF(M471&lt;0,IF(U470="",1,U470+1),0))</f>
        <v/>
      </c>
    </row>
    <row r="472">
      <c r="A472" s="6">
        <f>IF(B472="","",ROW()-1)</f>
        <v/>
      </c>
      <c r="B472" s="15" t="n"/>
      <c r="C472" s="15" t="n"/>
      <c r="D472" s="15" t="n"/>
      <c r="E472" s="15" t="n"/>
      <c r="F472" s="15" t="n"/>
      <c r="G472" s="16" t="n"/>
      <c r="H472" s="16" t="n"/>
      <c r="I472" s="16" t="n"/>
      <c r="J472" s="15" t="n"/>
      <c r="K472" s="16" t="n"/>
      <c r="L472" s="17">
        <f>IF(OR(G472="",H472=""),"",ABS(G472-H472))</f>
        <v/>
      </c>
      <c r="M472" s="18">
        <f>IF(OR(K472="",L472="",L472=0),"",IF(D472="Short",(G472-K472)/L472,(K472-G472)/L472))</f>
        <v/>
      </c>
      <c r="N472" s="18">
        <f>IF(M472="","",SUM($M$2:M472))</f>
        <v/>
      </c>
      <c r="O472" s="19" t="n"/>
      <c r="P472" s="15" t="n"/>
      <c r="Q472" s="15" t="n"/>
      <c r="R472" s="15" t="n"/>
      <c r="S472">
        <f>IF(N472="","",MAX(0,MAX($N$2:N472)))</f>
        <v/>
      </c>
      <c r="T472">
        <f>IF(N472="","",S472-N472)</f>
        <v/>
      </c>
      <c r="U472">
        <f>IF(M472="","",IF(M472&lt;0,IF(U471="",1,U471+1),0))</f>
        <v/>
      </c>
    </row>
    <row r="473">
      <c r="A473" s="6">
        <f>IF(B473="","",ROW()-1)</f>
        <v/>
      </c>
      <c r="B473" s="15" t="n"/>
      <c r="C473" s="15" t="n"/>
      <c r="D473" s="15" t="n"/>
      <c r="E473" s="15" t="n"/>
      <c r="F473" s="15" t="n"/>
      <c r="G473" s="16" t="n"/>
      <c r="H473" s="16" t="n"/>
      <c r="I473" s="16" t="n"/>
      <c r="J473" s="15" t="n"/>
      <c r="K473" s="16" t="n"/>
      <c r="L473" s="17">
        <f>IF(OR(G473="",H473=""),"",ABS(G473-H473))</f>
        <v/>
      </c>
      <c r="M473" s="18">
        <f>IF(OR(K473="",L473="",L473=0),"",IF(D473="Short",(G473-K473)/L473,(K473-G473)/L473))</f>
        <v/>
      </c>
      <c r="N473" s="18">
        <f>IF(M473="","",SUM($M$2:M473))</f>
        <v/>
      </c>
      <c r="O473" s="19" t="n"/>
      <c r="P473" s="15" t="n"/>
      <c r="Q473" s="15" t="n"/>
      <c r="R473" s="15" t="n"/>
      <c r="S473">
        <f>IF(N473="","",MAX(0,MAX($N$2:N473)))</f>
        <v/>
      </c>
      <c r="T473">
        <f>IF(N473="","",S473-N473)</f>
        <v/>
      </c>
      <c r="U473">
        <f>IF(M473="","",IF(M473&lt;0,IF(U472="",1,U472+1),0))</f>
        <v/>
      </c>
    </row>
    <row r="474">
      <c r="A474" s="6">
        <f>IF(B474="","",ROW()-1)</f>
        <v/>
      </c>
      <c r="B474" s="15" t="n"/>
      <c r="C474" s="15" t="n"/>
      <c r="D474" s="15" t="n"/>
      <c r="E474" s="15" t="n"/>
      <c r="F474" s="15" t="n"/>
      <c r="G474" s="16" t="n"/>
      <c r="H474" s="16" t="n"/>
      <c r="I474" s="16" t="n"/>
      <c r="J474" s="15" t="n"/>
      <c r="K474" s="16" t="n"/>
      <c r="L474" s="17">
        <f>IF(OR(G474="",H474=""),"",ABS(G474-H474))</f>
        <v/>
      </c>
      <c r="M474" s="18">
        <f>IF(OR(K474="",L474="",L474=0),"",IF(D474="Short",(G474-K474)/L474,(K474-G474)/L474))</f>
        <v/>
      </c>
      <c r="N474" s="18">
        <f>IF(M474="","",SUM($M$2:M474))</f>
        <v/>
      </c>
      <c r="O474" s="19" t="n"/>
      <c r="P474" s="15" t="n"/>
      <c r="Q474" s="15" t="n"/>
      <c r="R474" s="15" t="n"/>
      <c r="S474">
        <f>IF(N474="","",MAX(0,MAX($N$2:N474)))</f>
        <v/>
      </c>
      <c r="T474">
        <f>IF(N474="","",S474-N474)</f>
        <v/>
      </c>
      <c r="U474">
        <f>IF(M474="","",IF(M474&lt;0,IF(U473="",1,U473+1),0))</f>
        <v/>
      </c>
    </row>
    <row r="475">
      <c r="A475" s="6">
        <f>IF(B475="","",ROW()-1)</f>
        <v/>
      </c>
      <c r="B475" s="15" t="n"/>
      <c r="C475" s="15" t="n"/>
      <c r="D475" s="15" t="n"/>
      <c r="E475" s="15" t="n"/>
      <c r="F475" s="15" t="n"/>
      <c r="G475" s="16" t="n"/>
      <c r="H475" s="16" t="n"/>
      <c r="I475" s="16" t="n"/>
      <c r="J475" s="15" t="n"/>
      <c r="K475" s="16" t="n"/>
      <c r="L475" s="17">
        <f>IF(OR(G475="",H475=""),"",ABS(G475-H475))</f>
        <v/>
      </c>
      <c r="M475" s="18">
        <f>IF(OR(K475="",L475="",L475=0),"",IF(D475="Short",(G475-K475)/L475,(K475-G475)/L475))</f>
        <v/>
      </c>
      <c r="N475" s="18">
        <f>IF(M475="","",SUM($M$2:M475))</f>
        <v/>
      </c>
      <c r="O475" s="19" t="n"/>
      <c r="P475" s="15" t="n"/>
      <c r="Q475" s="15" t="n"/>
      <c r="R475" s="15" t="n"/>
      <c r="S475">
        <f>IF(N475="","",MAX(0,MAX($N$2:N475)))</f>
        <v/>
      </c>
      <c r="T475">
        <f>IF(N475="","",S475-N475)</f>
        <v/>
      </c>
      <c r="U475">
        <f>IF(M475="","",IF(M475&lt;0,IF(U474="",1,U474+1),0))</f>
        <v/>
      </c>
    </row>
    <row r="476">
      <c r="A476" s="6">
        <f>IF(B476="","",ROW()-1)</f>
        <v/>
      </c>
      <c r="B476" s="15" t="n"/>
      <c r="C476" s="15" t="n"/>
      <c r="D476" s="15" t="n"/>
      <c r="E476" s="15" t="n"/>
      <c r="F476" s="15" t="n"/>
      <c r="G476" s="16" t="n"/>
      <c r="H476" s="16" t="n"/>
      <c r="I476" s="16" t="n"/>
      <c r="J476" s="15" t="n"/>
      <c r="K476" s="16" t="n"/>
      <c r="L476" s="17">
        <f>IF(OR(G476="",H476=""),"",ABS(G476-H476))</f>
        <v/>
      </c>
      <c r="M476" s="18">
        <f>IF(OR(K476="",L476="",L476=0),"",IF(D476="Short",(G476-K476)/L476,(K476-G476)/L476))</f>
        <v/>
      </c>
      <c r="N476" s="18">
        <f>IF(M476="","",SUM($M$2:M476))</f>
        <v/>
      </c>
      <c r="O476" s="19" t="n"/>
      <c r="P476" s="15" t="n"/>
      <c r="Q476" s="15" t="n"/>
      <c r="R476" s="15" t="n"/>
      <c r="S476">
        <f>IF(N476="","",MAX(0,MAX($N$2:N476)))</f>
        <v/>
      </c>
      <c r="T476">
        <f>IF(N476="","",S476-N476)</f>
        <v/>
      </c>
      <c r="U476">
        <f>IF(M476="","",IF(M476&lt;0,IF(U475="",1,U475+1),0))</f>
        <v/>
      </c>
    </row>
    <row r="477">
      <c r="A477" s="6">
        <f>IF(B477="","",ROW()-1)</f>
        <v/>
      </c>
      <c r="B477" s="15" t="n"/>
      <c r="C477" s="15" t="n"/>
      <c r="D477" s="15" t="n"/>
      <c r="E477" s="15" t="n"/>
      <c r="F477" s="15" t="n"/>
      <c r="G477" s="16" t="n"/>
      <c r="H477" s="16" t="n"/>
      <c r="I477" s="16" t="n"/>
      <c r="J477" s="15" t="n"/>
      <c r="K477" s="16" t="n"/>
      <c r="L477" s="17">
        <f>IF(OR(G477="",H477=""),"",ABS(G477-H477))</f>
        <v/>
      </c>
      <c r="M477" s="18">
        <f>IF(OR(K477="",L477="",L477=0),"",IF(D477="Short",(G477-K477)/L477,(K477-G477)/L477))</f>
        <v/>
      </c>
      <c r="N477" s="18">
        <f>IF(M477="","",SUM($M$2:M477))</f>
        <v/>
      </c>
      <c r="O477" s="19" t="n"/>
      <c r="P477" s="15" t="n"/>
      <c r="Q477" s="15" t="n"/>
      <c r="R477" s="15" t="n"/>
      <c r="S477">
        <f>IF(N477="","",MAX(0,MAX($N$2:N477)))</f>
        <v/>
      </c>
      <c r="T477">
        <f>IF(N477="","",S477-N477)</f>
        <v/>
      </c>
      <c r="U477">
        <f>IF(M477="","",IF(M477&lt;0,IF(U476="",1,U476+1),0))</f>
        <v/>
      </c>
    </row>
    <row r="478">
      <c r="A478" s="6">
        <f>IF(B478="","",ROW()-1)</f>
        <v/>
      </c>
      <c r="B478" s="15" t="n"/>
      <c r="C478" s="15" t="n"/>
      <c r="D478" s="15" t="n"/>
      <c r="E478" s="15" t="n"/>
      <c r="F478" s="15" t="n"/>
      <c r="G478" s="16" t="n"/>
      <c r="H478" s="16" t="n"/>
      <c r="I478" s="16" t="n"/>
      <c r="J478" s="15" t="n"/>
      <c r="K478" s="16" t="n"/>
      <c r="L478" s="17">
        <f>IF(OR(G478="",H478=""),"",ABS(G478-H478))</f>
        <v/>
      </c>
      <c r="M478" s="18">
        <f>IF(OR(K478="",L478="",L478=0),"",IF(D478="Short",(G478-K478)/L478,(K478-G478)/L478))</f>
        <v/>
      </c>
      <c r="N478" s="18">
        <f>IF(M478="","",SUM($M$2:M478))</f>
        <v/>
      </c>
      <c r="O478" s="19" t="n"/>
      <c r="P478" s="15" t="n"/>
      <c r="Q478" s="15" t="n"/>
      <c r="R478" s="15" t="n"/>
      <c r="S478">
        <f>IF(N478="","",MAX(0,MAX($N$2:N478)))</f>
        <v/>
      </c>
      <c r="T478">
        <f>IF(N478="","",S478-N478)</f>
        <v/>
      </c>
      <c r="U478">
        <f>IF(M478="","",IF(M478&lt;0,IF(U477="",1,U477+1),0))</f>
        <v/>
      </c>
    </row>
    <row r="479">
      <c r="A479" s="6">
        <f>IF(B479="","",ROW()-1)</f>
        <v/>
      </c>
      <c r="B479" s="15" t="n"/>
      <c r="C479" s="15" t="n"/>
      <c r="D479" s="15" t="n"/>
      <c r="E479" s="15" t="n"/>
      <c r="F479" s="15" t="n"/>
      <c r="G479" s="16" t="n"/>
      <c r="H479" s="16" t="n"/>
      <c r="I479" s="16" t="n"/>
      <c r="J479" s="15" t="n"/>
      <c r="K479" s="16" t="n"/>
      <c r="L479" s="17">
        <f>IF(OR(G479="",H479=""),"",ABS(G479-H479))</f>
        <v/>
      </c>
      <c r="M479" s="18">
        <f>IF(OR(K479="",L479="",L479=0),"",IF(D479="Short",(G479-K479)/L479,(K479-G479)/L479))</f>
        <v/>
      </c>
      <c r="N479" s="18">
        <f>IF(M479="","",SUM($M$2:M479))</f>
        <v/>
      </c>
      <c r="O479" s="19" t="n"/>
      <c r="P479" s="15" t="n"/>
      <c r="Q479" s="15" t="n"/>
      <c r="R479" s="15" t="n"/>
      <c r="S479">
        <f>IF(N479="","",MAX(0,MAX($N$2:N479)))</f>
        <v/>
      </c>
      <c r="T479">
        <f>IF(N479="","",S479-N479)</f>
        <v/>
      </c>
      <c r="U479">
        <f>IF(M479="","",IF(M479&lt;0,IF(U478="",1,U478+1),0))</f>
        <v/>
      </c>
    </row>
    <row r="480">
      <c r="A480" s="6">
        <f>IF(B480="","",ROW()-1)</f>
        <v/>
      </c>
      <c r="B480" s="15" t="n"/>
      <c r="C480" s="15" t="n"/>
      <c r="D480" s="15" t="n"/>
      <c r="E480" s="15" t="n"/>
      <c r="F480" s="15" t="n"/>
      <c r="G480" s="16" t="n"/>
      <c r="H480" s="16" t="n"/>
      <c r="I480" s="16" t="n"/>
      <c r="J480" s="15" t="n"/>
      <c r="K480" s="16" t="n"/>
      <c r="L480" s="17">
        <f>IF(OR(G480="",H480=""),"",ABS(G480-H480))</f>
        <v/>
      </c>
      <c r="M480" s="18">
        <f>IF(OR(K480="",L480="",L480=0),"",IF(D480="Short",(G480-K480)/L480,(K480-G480)/L480))</f>
        <v/>
      </c>
      <c r="N480" s="18">
        <f>IF(M480="","",SUM($M$2:M480))</f>
        <v/>
      </c>
      <c r="O480" s="19" t="n"/>
      <c r="P480" s="15" t="n"/>
      <c r="Q480" s="15" t="n"/>
      <c r="R480" s="15" t="n"/>
      <c r="S480">
        <f>IF(N480="","",MAX(0,MAX($N$2:N480)))</f>
        <v/>
      </c>
      <c r="T480">
        <f>IF(N480="","",S480-N480)</f>
        <v/>
      </c>
      <c r="U480">
        <f>IF(M480="","",IF(M480&lt;0,IF(U479="",1,U479+1),0))</f>
        <v/>
      </c>
    </row>
    <row r="481">
      <c r="A481" s="6">
        <f>IF(B481="","",ROW()-1)</f>
        <v/>
      </c>
      <c r="B481" s="15" t="n"/>
      <c r="C481" s="15" t="n"/>
      <c r="D481" s="15" t="n"/>
      <c r="E481" s="15" t="n"/>
      <c r="F481" s="15" t="n"/>
      <c r="G481" s="16" t="n"/>
      <c r="H481" s="16" t="n"/>
      <c r="I481" s="16" t="n"/>
      <c r="J481" s="15" t="n"/>
      <c r="K481" s="16" t="n"/>
      <c r="L481" s="17">
        <f>IF(OR(G481="",H481=""),"",ABS(G481-H481))</f>
        <v/>
      </c>
      <c r="M481" s="18">
        <f>IF(OR(K481="",L481="",L481=0),"",IF(D481="Short",(G481-K481)/L481,(K481-G481)/L481))</f>
        <v/>
      </c>
      <c r="N481" s="18">
        <f>IF(M481="","",SUM($M$2:M481))</f>
        <v/>
      </c>
      <c r="O481" s="19" t="n"/>
      <c r="P481" s="15" t="n"/>
      <c r="Q481" s="15" t="n"/>
      <c r="R481" s="15" t="n"/>
      <c r="S481">
        <f>IF(N481="","",MAX(0,MAX($N$2:N481)))</f>
        <v/>
      </c>
      <c r="T481">
        <f>IF(N481="","",S481-N481)</f>
        <v/>
      </c>
      <c r="U481">
        <f>IF(M481="","",IF(M481&lt;0,IF(U480="",1,U480+1),0))</f>
        <v/>
      </c>
    </row>
    <row r="482">
      <c r="A482" s="6">
        <f>IF(B482="","",ROW()-1)</f>
        <v/>
      </c>
      <c r="B482" s="15" t="n"/>
      <c r="C482" s="15" t="n"/>
      <c r="D482" s="15" t="n"/>
      <c r="E482" s="15" t="n"/>
      <c r="F482" s="15" t="n"/>
      <c r="G482" s="16" t="n"/>
      <c r="H482" s="16" t="n"/>
      <c r="I482" s="16" t="n"/>
      <c r="J482" s="15" t="n"/>
      <c r="K482" s="16" t="n"/>
      <c r="L482" s="17">
        <f>IF(OR(G482="",H482=""),"",ABS(G482-H482))</f>
        <v/>
      </c>
      <c r="M482" s="18">
        <f>IF(OR(K482="",L482="",L482=0),"",IF(D482="Short",(G482-K482)/L482,(K482-G482)/L482))</f>
        <v/>
      </c>
      <c r="N482" s="18">
        <f>IF(M482="","",SUM($M$2:M482))</f>
        <v/>
      </c>
      <c r="O482" s="19" t="n"/>
      <c r="P482" s="15" t="n"/>
      <c r="Q482" s="15" t="n"/>
      <c r="R482" s="15" t="n"/>
      <c r="S482">
        <f>IF(N482="","",MAX(0,MAX($N$2:N482)))</f>
        <v/>
      </c>
      <c r="T482">
        <f>IF(N482="","",S482-N482)</f>
        <v/>
      </c>
      <c r="U482">
        <f>IF(M482="","",IF(M482&lt;0,IF(U481="",1,U481+1),0))</f>
        <v/>
      </c>
    </row>
    <row r="483">
      <c r="A483" s="6">
        <f>IF(B483="","",ROW()-1)</f>
        <v/>
      </c>
      <c r="B483" s="15" t="n"/>
      <c r="C483" s="15" t="n"/>
      <c r="D483" s="15" t="n"/>
      <c r="E483" s="15" t="n"/>
      <c r="F483" s="15" t="n"/>
      <c r="G483" s="16" t="n"/>
      <c r="H483" s="16" t="n"/>
      <c r="I483" s="16" t="n"/>
      <c r="J483" s="15" t="n"/>
      <c r="K483" s="16" t="n"/>
      <c r="L483" s="17">
        <f>IF(OR(G483="",H483=""),"",ABS(G483-H483))</f>
        <v/>
      </c>
      <c r="M483" s="18">
        <f>IF(OR(K483="",L483="",L483=0),"",IF(D483="Short",(G483-K483)/L483,(K483-G483)/L483))</f>
        <v/>
      </c>
      <c r="N483" s="18">
        <f>IF(M483="","",SUM($M$2:M483))</f>
        <v/>
      </c>
      <c r="O483" s="19" t="n"/>
      <c r="P483" s="15" t="n"/>
      <c r="Q483" s="15" t="n"/>
      <c r="R483" s="15" t="n"/>
      <c r="S483">
        <f>IF(N483="","",MAX(0,MAX($N$2:N483)))</f>
        <v/>
      </c>
      <c r="T483">
        <f>IF(N483="","",S483-N483)</f>
        <v/>
      </c>
      <c r="U483">
        <f>IF(M483="","",IF(M483&lt;0,IF(U482="",1,U482+1),0))</f>
        <v/>
      </c>
    </row>
    <row r="484">
      <c r="A484" s="6">
        <f>IF(B484="","",ROW()-1)</f>
        <v/>
      </c>
      <c r="B484" s="15" t="n"/>
      <c r="C484" s="15" t="n"/>
      <c r="D484" s="15" t="n"/>
      <c r="E484" s="15" t="n"/>
      <c r="F484" s="15" t="n"/>
      <c r="G484" s="16" t="n"/>
      <c r="H484" s="16" t="n"/>
      <c r="I484" s="16" t="n"/>
      <c r="J484" s="15" t="n"/>
      <c r="K484" s="16" t="n"/>
      <c r="L484" s="17">
        <f>IF(OR(G484="",H484=""),"",ABS(G484-H484))</f>
        <v/>
      </c>
      <c r="M484" s="18">
        <f>IF(OR(K484="",L484="",L484=0),"",IF(D484="Short",(G484-K484)/L484,(K484-G484)/L484))</f>
        <v/>
      </c>
      <c r="N484" s="18">
        <f>IF(M484="","",SUM($M$2:M484))</f>
        <v/>
      </c>
      <c r="O484" s="19" t="n"/>
      <c r="P484" s="15" t="n"/>
      <c r="Q484" s="15" t="n"/>
      <c r="R484" s="15" t="n"/>
      <c r="S484">
        <f>IF(N484="","",MAX(0,MAX($N$2:N484)))</f>
        <v/>
      </c>
      <c r="T484">
        <f>IF(N484="","",S484-N484)</f>
        <v/>
      </c>
      <c r="U484">
        <f>IF(M484="","",IF(M484&lt;0,IF(U483="",1,U483+1),0))</f>
        <v/>
      </c>
    </row>
    <row r="485">
      <c r="A485" s="6">
        <f>IF(B485="","",ROW()-1)</f>
        <v/>
      </c>
      <c r="B485" s="15" t="n"/>
      <c r="C485" s="15" t="n"/>
      <c r="D485" s="15" t="n"/>
      <c r="E485" s="15" t="n"/>
      <c r="F485" s="15" t="n"/>
      <c r="G485" s="16" t="n"/>
      <c r="H485" s="16" t="n"/>
      <c r="I485" s="16" t="n"/>
      <c r="J485" s="15" t="n"/>
      <c r="K485" s="16" t="n"/>
      <c r="L485" s="17">
        <f>IF(OR(G485="",H485=""),"",ABS(G485-H485))</f>
        <v/>
      </c>
      <c r="M485" s="18">
        <f>IF(OR(K485="",L485="",L485=0),"",IF(D485="Short",(G485-K485)/L485,(K485-G485)/L485))</f>
        <v/>
      </c>
      <c r="N485" s="18">
        <f>IF(M485="","",SUM($M$2:M485))</f>
        <v/>
      </c>
      <c r="O485" s="19" t="n"/>
      <c r="P485" s="15" t="n"/>
      <c r="Q485" s="15" t="n"/>
      <c r="R485" s="15" t="n"/>
      <c r="S485">
        <f>IF(N485="","",MAX(0,MAX($N$2:N485)))</f>
        <v/>
      </c>
      <c r="T485">
        <f>IF(N485="","",S485-N485)</f>
        <v/>
      </c>
      <c r="U485">
        <f>IF(M485="","",IF(M485&lt;0,IF(U484="",1,U484+1),0))</f>
        <v/>
      </c>
    </row>
    <row r="486">
      <c r="A486" s="6">
        <f>IF(B486="","",ROW()-1)</f>
        <v/>
      </c>
      <c r="B486" s="15" t="n"/>
      <c r="C486" s="15" t="n"/>
      <c r="D486" s="15" t="n"/>
      <c r="E486" s="15" t="n"/>
      <c r="F486" s="15" t="n"/>
      <c r="G486" s="16" t="n"/>
      <c r="H486" s="16" t="n"/>
      <c r="I486" s="16" t="n"/>
      <c r="J486" s="15" t="n"/>
      <c r="K486" s="16" t="n"/>
      <c r="L486" s="17">
        <f>IF(OR(G486="",H486=""),"",ABS(G486-H486))</f>
        <v/>
      </c>
      <c r="M486" s="18">
        <f>IF(OR(K486="",L486="",L486=0),"",IF(D486="Short",(G486-K486)/L486,(K486-G486)/L486))</f>
        <v/>
      </c>
      <c r="N486" s="18">
        <f>IF(M486="","",SUM($M$2:M486))</f>
        <v/>
      </c>
      <c r="O486" s="19" t="n"/>
      <c r="P486" s="15" t="n"/>
      <c r="Q486" s="15" t="n"/>
      <c r="R486" s="15" t="n"/>
      <c r="S486">
        <f>IF(N486="","",MAX(0,MAX($N$2:N486)))</f>
        <v/>
      </c>
      <c r="T486">
        <f>IF(N486="","",S486-N486)</f>
        <v/>
      </c>
      <c r="U486">
        <f>IF(M486="","",IF(M486&lt;0,IF(U485="",1,U485+1),0))</f>
        <v/>
      </c>
    </row>
    <row r="487">
      <c r="A487" s="6">
        <f>IF(B487="","",ROW()-1)</f>
        <v/>
      </c>
      <c r="B487" s="15" t="n"/>
      <c r="C487" s="15" t="n"/>
      <c r="D487" s="15" t="n"/>
      <c r="E487" s="15" t="n"/>
      <c r="F487" s="15" t="n"/>
      <c r="G487" s="16" t="n"/>
      <c r="H487" s="16" t="n"/>
      <c r="I487" s="16" t="n"/>
      <c r="J487" s="15" t="n"/>
      <c r="K487" s="16" t="n"/>
      <c r="L487" s="17">
        <f>IF(OR(G487="",H487=""),"",ABS(G487-H487))</f>
        <v/>
      </c>
      <c r="M487" s="18">
        <f>IF(OR(K487="",L487="",L487=0),"",IF(D487="Short",(G487-K487)/L487,(K487-G487)/L487))</f>
        <v/>
      </c>
      <c r="N487" s="18">
        <f>IF(M487="","",SUM($M$2:M487))</f>
        <v/>
      </c>
      <c r="O487" s="19" t="n"/>
      <c r="P487" s="15" t="n"/>
      <c r="Q487" s="15" t="n"/>
      <c r="R487" s="15" t="n"/>
      <c r="S487">
        <f>IF(N487="","",MAX(0,MAX($N$2:N487)))</f>
        <v/>
      </c>
      <c r="T487">
        <f>IF(N487="","",S487-N487)</f>
        <v/>
      </c>
      <c r="U487">
        <f>IF(M487="","",IF(M487&lt;0,IF(U486="",1,U486+1),0))</f>
        <v/>
      </c>
    </row>
    <row r="488">
      <c r="A488" s="6">
        <f>IF(B488="","",ROW()-1)</f>
        <v/>
      </c>
      <c r="B488" s="15" t="n"/>
      <c r="C488" s="15" t="n"/>
      <c r="D488" s="15" t="n"/>
      <c r="E488" s="15" t="n"/>
      <c r="F488" s="15" t="n"/>
      <c r="G488" s="16" t="n"/>
      <c r="H488" s="16" t="n"/>
      <c r="I488" s="16" t="n"/>
      <c r="J488" s="15" t="n"/>
      <c r="K488" s="16" t="n"/>
      <c r="L488" s="17">
        <f>IF(OR(G488="",H488=""),"",ABS(G488-H488))</f>
        <v/>
      </c>
      <c r="M488" s="18">
        <f>IF(OR(K488="",L488="",L488=0),"",IF(D488="Short",(G488-K488)/L488,(K488-G488)/L488))</f>
        <v/>
      </c>
      <c r="N488" s="18">
        <f>IF(M488="","",SUM($M$2:M488))</f>
        <v/>
      </c>
      <c r="O488" s="19" t="n"/>
      <c r="P488" s="15" t="n"/>
      <c r="Q488" s="15" t="n"/>
      <c r="R488" s="15" t="n"/>
      <c r="S488">
        <f>IF(N488="","",MAX(0,MAX($N$2:N488)))</f>
        <v/>
      </c>
      <c r="T488">
        <f>IF(N488="","",S488-N488)</f>
        <v/>
      </c>
      <c r="U488">
        <f>IF(M488="","",IF(M488&lt;0,IF(U487="",1,U487+1),0))</f>
        <v/>
      </c>
    </row>
    <row r="489">
      <c r="A489" s="6">
        <f>IF(B489="","",ROW()-1)</f>
        <v/>
      </c>
      <c r="B489" s="15" t="n"/>
      <c r="C489" s="15" t="n"/>
      <c r="D489" s="15" t="n"/>
      <c r="E489" s="15" t="n"/>
      <c r="F489" s="15" t="n"/>
      <c r="G489" s="16" t="n"/>
      <c r="H489" s="16" t="n"/>
      <c r="I489" s="16" t="n"/>
      <c r="J489" s="15" t="n"/>
      <c r="K489" s="16" t="n"/>
      <c r="L489" s="17">
        <f>IF(OR(G489="",H489=""),"",ABS(G489-H489))</f>
        <v/>
      </c>
      <c r="M489" s="18">
        <f>IF(OR(K489="",L489="",L489=0),"",IF(D489="Short",(G489-K489)/L489,(K489-G489)/L489))</f>
        <v/>
      </c>
      <c r="N489" s="18">
        <f>IF(M489="","",SUM($M$2:M489))</f>
        <v/>
      </c>
      <c r="O489" s="19" t="n"/>
      <c r="P489" s="15" t="n"/>
      <c r="Q489" s="15" t="n"/>
      <c r="R489" s="15" t="n"/>
      <c r="S489">
        <f>IF(N489="","",MAX(0,MAX($N$2:N489)))</f>
        <v/>
      </c>
      <c r="T489">
        <f>IF(N489="","",S489-N489)</f>
        <v/>
      </c>
      <c r="U489">
        <f>IF(M489="","",IF(M489&lt;0,IF(U488="",1,U488+1),0))</f>
        <v/>
      </c>
    </row>
    <row r="490">
      <c r="A490" s="6">
        <f>IF(B490="","",ROW()-1)</f>
        <v/>
      </c>
      <c r="B490" s="15" t="n"/>
      <c r="C490" s="15" t="n"/>
      <c r="D490" s="15" t="n"/>
      <c r="E490" s="15" t="n"/>
      <c r="F490" s="15" t="n"/>
      <c r="G490" s="16" t="n"/>
      <c r="H490" s="16" t="n"/>
      <c r="I490" s="16" t="n"/>
      <c r="J490" s="15" t="n"/>
      <c r="K490" s="16" t="n"/>
      <c r="L490" s="17">
        <f>IF(OR(G490="",H490=""),"",ABS(G490-H490))</f>
        <v/>
      </c>
      <c r="M490" s="18">
        <f>IF(OR(K490="",L490="",L490=0),"",IF(D490="Short",(G490-K490)/L490,(K490-G490)/L490))</f>
        <v/>
      </c>
      <c r="N490" s="18">
        <f>IF(M490="","",SUM($M$2:M490))</f>
        <v/>
      </c>
      <c r="O490" s="19" t="n"/>
      <c r="P490" s="15" t="n"/>
      <c r="Q490" s="15" t="n"/>
      <c r="R490" s="15" t="n"/>
      <c r="S490">
        <f>IF(N490="","",MAX(0,MAX($N$2:N490)))</f>
        <v/>
      </c>
      <c r="T490">
        <f>IF(N490="","",S490-N490)</f>
        <v/>
      </c>
      <c r="U490">
        <f>IF(M490="","",IF(M490&lt;0,IF(U489="",1,U489+1),0))</f>
        <v/>
      </c>
    </row>
    <row r="491">
      <c r="A491" s="6">
        <f>IF(B491="","",ROW()-1)</f>
        <v/>
      </c>
      <c r="B491" s="15" t="n"/>
      <c r="C491" s="15" t="n"/>
      <c r="D491" s="15" t="n"/>
      <c r="E491" s="15" t="n"/>
      <c r="F491" s="15" t="n"/>
      <c r="G491" s="16" t="n"/>
      <c r="H491" s="16" t="n"/>
      <c r="I491" s="16" t="n"/>
      <c r="J491" s="15" t="n"/>
      <c r="K491" s="16" t="n"/>
      <c r="L491" s="17">
        <f>IF(OR(G491="",H491=""),"",ABS(G491-H491))</f>
        <v/>
      </c>
      <c r="M491" s="18">
        <f>IF(OR(K491="",L491="",L491=0),"",IF(D491="Short",(G491-K491)/L491,(K491-G491)/L491))</f>
        <v/>
      </c>
      <c r="N491" s="18">
        <f>IF(M491="","",SUM($M$2:M491))</f>
        <v/>
      </c>
      <c r="O491" s="19" t="n"/>
      <c r="P491" s="15" t="n"/>
      <c r="Q491" s="15" t="n"/>
      <c r="R491" s="15" t="n"/>
      <c r="S491">
        <f>IF(N491="","",MAX(0,MAX($N$2:N491)))</f>
        <v/>
      </c>
      <c r="T491">
        <f>IF(N491="","",S491-N491)</f>
        <v/>
      </c>
      <c r="U491">
        <f>IF(M491="","",IF(M491&lt;0,IF(U490="",1,U490+1),0))</f>
        <v/>
      </c>
    </row>
    <row r="492">
      <c r="A492" s="6">
        <f>IF(B492="","",ROW()-1)</f>
        <v/>
      </c>
      <c r="B492" s="15" t="n"/>
      <c r="C492" s="15" t="n"/>
      <c r="D492" s="15" t="n"/>
      <c r="E492" s="15" t="n"/>
      <c r="F492" s="15" t="n"/>
      <c r="G492" s="16" t="n"/>
      <c r="H492" s="16" t="n"/>
      <c r="I492" s="16" t="n"/>
      <c r="J492" s="15" t="n"/>
      <c r="K492" s="16" t="n"/>
      <c r="L492" s="17">
        <f>IF(OR(G492="",H492=""),"",ABS(G492-H492))</f>
        <v/>
      </c>
      <c r="M492" s="18">
        <f>IF(OR(K492="",L492="",L492=0),"",IF(D492="Short",(G492-K492)/L492,(K492-G492)/L492))</f>
        <v/>
      </c>
      <c r="N492" s="18">
        <f>IF(M492="","",SUM($M$2:M492))</f>
        <v/>
      </c>
      <c r="O492" s="19" t="n"/>
      <c r="P492" s="15" t="n"/>
      <c r="Q492" s="15" t="n"/>
      <c r="R492" s="15" t="n"/>
      <c r="S492">
        <f>IF(N492="","",MAX(0,MAX($N$2:N492)))</f>
        <v/>
      </c>
      <c r="T492">
        <f>IF(N492="","",S492-N492)</f>
        <v/>
      </c>
      <c r="U492">
        <f>IF(M492="","",IF(M492&lt;0,IF(U491="",1,U491+1),0))</f>
        <v/>
      </c>
    </row>
    <row r="493">
      <c r="A493" s="6">
        <f>IF(B493="","",ROW()-1)</f>
        <v/>
      </c>
      <c r="B493" s="15" t="n"/>
      <c r="C493" s="15" t="n"/>
      <c r="D493" s="15" t="n"/>
      <c r="E493" s="15" t="n"/>
      <c r="F493" s="15" t="n"/>
      <c r="G493" s="16" t="n"/>
      <c r="H493" s="16" t="n"/>
      <c r="I493" s="16" t="n"/>
      <c r="J493" s="15" t="n"/>
      <c r="K493" s="16" t="n"/>
      <c r="L493" s="17">
        <f>IF(OR(G493="",H493=""),"",ABS(G493-H493))</f>
        <v/>
      </c>
      <c r="M493" s="18">
        <f>IF(OR(K493="",L493="",L493=0),"",IF(D493="Short",(G493-K493)/L493,(K493-G493)/L493))</f>
        <v/>
      </c>
      <c r="N493" s="18">
        <f>IF(M493="","",SUM($M$2:M493))</f>
        <v/>
      </c>
      <c r="O493" s="19" t="n"/>
      <c r="P493" s="15" t="n"/>
      <c r="Q493" s="15" t="n"/>
      <c r="R493" s="15" t="n"/>
      <c r="S493">
        <f>IF(N493="","",MAX(0,MAX($N$2:N493)))</f>
        <v/>
      </c>
      <c r="T493">
        <f>IF(N493="","",S493-N493)</f>
        <v/>
      </c>
      <c r="U493">
        <f>IF(M493="","",IF(M493&lt;0,IF(U492="",1,U492+1),0))</f>
        <v/>
      </c>
    </row>
    <row r="494">
      <c r="A494" s="6">
        <f>IF(B494="","",ROW()-1)</f>
        <v/>
      </c>
      <c r="B494" s="15" t="n"/>
      <c r="C494" s="15" t="n"/>
      <c r="D494" s="15" t="n"/>
      <c r="E494" s="15" t="n"/>
      <c r="F494" s="15" t="n"/>
      <c r="G494" s="16" t="n"/>
      <c r="H494" s="16" t="n"/>
      <c r="I494" s="16" t="n"/>
      <c r="J494" s="15" t="n"/>
      <c r="K494" s="16" t="n"/>
      <c r="L494" s="17">
        <f>IF(OR(G494="",H494=""),"",ABS(G494-H494))</f>
        <v/>
      </c>
      <c r="M494" s="18">
        <f>IF(OR(K494="",L494="",L494=0),"",IF(D494="Short",(G494-K494)/L494,(K494-G494)/L494))</f>
        <v/>
      </c>
      <c r="N494" s="18">
        <f>IF(M494="","",SUM($M$2:M494))</f>
        <v/>
      </c>
      <c r="O494" s="19" t="n"/>
      <c r="P494" s="15" t="n"/>
      <c r="Q494" s="15" t="n"/>
      <c r="R494" s="15" t="n"/>
      <c r="S494">
        <f>IF(N494="","",MAX(0,MAX($N$2:N494)))</f>
        <v/>
      </c>
      <c r="T494">
        <f>IF(N494="","",S494-N494)</f>
        <v/>
      </c>
      <c r="U494">
        <f>IF(M494="","",IF(M494&lt;0,IF(U493="",1,U493+1),0))</f>
        <v/>
      </c>
    </row>
    <row r="495">
      <c r="A495" s="6">
        <f>IF(B495="","",ROW()-1)</f>
        <v/>
      </c>
      <c r="B495" s="15" t="n"/>
      <c r="C495" s="15" t="n"/>
      <c r="D495" s="15" t="n"/>
      <c r="E495" s="15" t="n"/>
      <c r="F495" s="15" t="n"/>
      <c r="G495" s="16" t="n"/>
      <c r="H495" s="16" t="n"/>
      <c r="I495" s="16" t="n"/>
      <c r="J495" s="15" t="n"/>
      <c r="K495" s="16" t="n"/>
      <c r="L495" s="17">
        <f>IF(OR(G495="",H495=""),"",ABS(G495-H495))</f>
        <v/>
      </c>
      <c r="M495" s="18">
        <f>IF(OR(K495="",L495="",L495=0),"",IF(D495="Short",(G495-K495)/L495,(K495-G495)/L495))</f>
        <v/>
      </c>
      <c r="N495" s="18">
        <f>IF(M495="","",SUM($M$2:M495))</f>
        <v/>
      </c>
      <c r="O495" s="19" t="n"/>
      <c r="P495" s="15" t="n"/>
      <c r="Q495" s="15" t="n"/>
      <c r="R495" s="15" t="n"/>
      <c r="S495">
        <f>IF(N495="","",MAX(0,MAX($N$2:N495)))</f>
        <v/>
      </c>
      <c r="T495">
        <f>IF(N495="","",S495-N495)</f>
        <v/>
      </c>
      <c r="U495">
        <f>IF(M495="","",IF(M495&lt;0,IF(U494="",1,U494+1),0))</f>
        <v/>
      </c>
    </row>
    <row r="496">
      <c r="A496" s="6">
        <f>IF(B496="","",ROW()-1)</f>
        <v/>
      </c>
      <c r="B496" s="15" t="n"/>
      <c r="C496" s="15" t="n"/>
      <c r="D496" s="15" t="n"/>
      <c r="E496" s="15" t="n"/>
      <c r="F496" s="15" t="n"/>
      <c r="G496" s="16" t="n"/>
      <c r="H496" s="16" t="n"/>
      <c r="I496" s="16" t="n"/>
      <c r="J496" s="15" t="n"/>
      <c r="K496" s="16" t="n"/>
      <c r="L496" s="17">
        <f>IF(OR(G496="",H496=""),"",ABS(G496-H496))</f>
        <v/>
      </c>
      <c r="M496" s="18">
        <f>IF(OR(K496="",L496="",L496=0),"",IF(D496="Short",(G496-K496)/L496,(K496-G496)/L496))</f>
        <v/>
      </c>
      <c r="N496" s="18">
        <f>IF(M496="","",SUM($M$2:M496))</f>
        <v/>
      </c>
      <c r="O496" s="19" t="n"/>
      <c r="P496" s="15" t="n"/>
      <c r="Q496" s="15" t="n"/>
      <c r="R496" s="15" t="n"/>
      <c r="S496">
        <f>IF(N496="","",MAX(0,MAX($N$2:N496)))</f>
        <v/>
      </c>
      <c r="T496">
        <f>IF(N496="","",S496-N496)</f>
        <v/>
      </c>
      <c r="U496">
        <f>IF(M496="","",IF(M496&lt;0,IF(U495="",1,U495+1),0))</f>
        <v/>
      </c>
    </row>
    <row r="497">
      <c r="A497" s="6">
        <f>IF(B497="","",ROW()-1)</f>
        <v/>
      </c>
      <c r="B497" s="15" t="n"/>
      <c r="C497" s="15" t="n"/>
      <c r="D497" s="15" t="n"/>
      <c r="E497" s="15" t="n"/>
      <c r="F497" s="15" t="n"/>
      <c r="G497" s="16" t="n"/>
      <c r="H497" s="16" t="n"/>
      <c r="I497" s="16" t="n"/>
      <c r="J497" s="15" t="n"/>
      <c r="K497" s="16" t="n"/>
      <c r="L497" s="17">
        <f>IF(OR(G497="",H497=""),"",ABS(G497-H497))</f>
        <v/>
      </c>
      <c r="M497" s="18">
        <f>IF(OR(K497="",L497="",L497=0),"",IF(D497="Short",(G497-K497)/L497,(K497-G497)/L497))</f>
        <v/>
      </c>
      <c r="N497" s="18">
        <f>IF(M497="","",SUM($M$2:M497))</f>
        <v/>
      </c>
      <c r="O497" s="19" t="n"/>
      <c r="P497" s="15" t="n"/>
      <c r="Q497" s="15" t="n"/>
      <c r="R497" s="15" t="n"/>
      <c r="S497">
        <f>IF(N497="","",MAX(0,MAX($N$2:N497)))</f>
        <v/>
      </c>
      <c r="T497">
        <f>IF(N497="","",S497-N497)</f>
        <v/>
      </c>
      <c r="U497">
        <f>IF(M497="","",IF(M497&lt;0,IF(U496="",1,U496+1),0))</f>
        <v/>
      </c>
    </row>
    <row r="498">
      <c r="A498" s="6">
        <f>IF(B498="","",ROW()-1)</f>
        <v/>
      </c>
      <c r="B498" s="15" t="n"/>
      <c r="C498" s="15" t="n"/>
      <c r="D498" s="15" t="n"/>
      <c r="E498" s="15" t="n"/>
      <c r="F498" s="15" t="n"/>
      <c r="G498" s="16" t="n"/>
      <c r="H498" s="16" t="n"/>
      <c r="I498" s="16" t="n"/>
      <c r="J498" s="15" t="n"/>
      <c r="K498" s="16" t="n"/>
      <c r="L498" s="17">
        <f>IF(OR(G498="",H498=""),"",ABS(G498-H498))</f>
        <v/>
      </c>
      <c r="M498" s="18">
        <f>IF(OR(K498="",L498="",L498=0),"",IF(D498="Short",(G498-K498)/L498,(K498-G498)/L498))</f>
        <v/>
      </c>
      <c r="N498" s="18">
        <f>IF(M498="","",SUM($M$2:M498))</f>
        <v/>
      </c>
      <c r="O498" s="19" t="n"/>
      <c r="P498" s="15" t="n"/>
      <c r="Q498" s="15" t="n"/>
      <c r="R498" s="15" t="n"/>
      <c r="S498">
        <f>IF(N498="","",MAX(0,MAX($N$2:N498)))</f>
        <v/>
      </c>
      <c r="T498">
        <f>IF(N498="","",S498-N498)</f>
        <v/>
      </c>
      <c r="U498">
        <f>IF(M498="","",IF(M498&lt;0,IF(U497="",1,U497+1),0))</f>
        <v/>
      </c>
    </row>
    <row r="499">
      <c r="A499" s="6">
        <f>IF(B499="","",ROW()-1)</f>
        <v/>
      </c>
      <c r="B499" s="15" t="n"/>
      <c r="C499" s="15" t="n"/>
      <c r="D499" s="15" t="n"/>
      <c r="E499" s="15" t="n"/>
      <c r="F499" s="15" t="n"/>
      <c r="G499" s="16" t="n"/>
      <c r="H499" s="16" t="n"/>
      <c r="I499" s="16" t="n"/>
      <c r="J499" s="15" t="n"/>
      <c r="K499" s="16" t="n"/>
      <c r="L499" s="17">
        <f>IF(OR(G499="",H499=""),"",ABS(G499-H499))</f>
        <v/>
      </c>
      <c r="M499" s="18">
        <f>IF(OR(K499="",L499="",L499=0),"",IF(D499="Short",(G499-K499)/L499,(K499-G499)/L499))</f>
        <v/>
      </c>
      <c r="N499" s="18">
        <f>IF(M499="","",SUM($M$2:M499))</f>
        <v/>
      </c>
      <c r="O499" s="19" t="n"/>
      <c r="P499" s="15" t="n"/>
      <c r="Q499" s="15" t="n"/>
      <c r="R499" s="15" t="n"/>
      <c r="S499">
        <f>IF(N499="","",MAX(0,MAX($N$2:N499)))</f>
        <v/>
      </c>
      <c r="T499">
        <f>IF(N499="","",S499-N499)</f>
        <v/>
      </c>
      <c r="U499">
        <f>IF(M499="","",IF(M499&lt;0,IF(U498="",1,U498+1),0))</f>
        <v/>
      </c>
    </row>
    <row r="500">
      <c r="A500" s="6">
        <f>IF(B500="","",ROW()-1)</f>
        <v/>
      </c>
      <c r="B500" s="15" t="n"/>
      <c r="C500" s="15" t="n"/>
      <c r="D500" s="15" t="n"/>
      <c r="E500" s="15" t="n"/>
      <c r="F500" s="15" t="n"/>
      <c r="G500" s="16" t="n"/>
      <c r="H500" s="16" t="n"/>
      <c r="I500" s="16" t="n"/>
      <c r="J500" s="15" t="n"/>
      <c r="K500" s="16" t="n"/>
      <c r="L500" s="17">
        <f>IF(OR(G500="",H500=""),"",ABS(G500-H500))</f>
        <v/>
      </c>
      <c r="M500" s="18">
        <f>IF(OR(K500="",L500="",L500=0),"",IF(D500="Short",(G500-K500)/L500,(K500-G500)/L500))</f>
        <v/>
      </c>
      <c r="N500" s="18">
        <f>IF(M500="","",SUM($M$2:M500))</f>
        <v/>
      </c>
      <c r="O500" s="19" t="n"/>
      <c r="P500" s="15" t="n"/>
      <c r="Q500" s="15" t="n"/>
      <c r="R500" s="15" t="n"/>
      <c r="S500">
        <f>IF(N500="","",MAX(0,MAX($N$2:N500)))</f>
        <v/>
      </c>
      <c r="T500">
        <f>IF(N500="","",S500-N500)</f>
        <v/>
      </c>
      <c r="U500">
        <f>IF(M500="","",IF(M500&lt;0,IF(U499="",1,U499+1),0))</f>
        <v/>
      </c>
    </row>
    <row r="501">
      <c r="A501" s="6">
        <f>IF(B501="","",ROW()-1)</f>
        <v/>
      </c>
      <c r="B501" s="15" t="n"/>
      <c r="C501" s="15" t="n"/>
      <c r="D501" s="15" t="n"/>
      <c r="E501" s="15" t="n"/>
      <c r="F501" s="15" t="n"/>
      <c r="G501" s="16" t="n"/>
      <c r="H501" s="16" t="n"/>
      <c r="I501" s="16" t="n"/>
      <c r="J501" s="15" t="n"/>
      <c r="K501" s="16" t="n"/>
      <c r="L501" s="17">
        <f>IF(OR(G501="",H501=""),"",ABS(G501-H501))</f>
        <v/>
      </c>
      <c r="M501" s="18">
        <f>IF(OR(K501="",L501="",L501=0),"",IF(D501="Short",(G501-K501)/L501,(K501-G501)/L501))</f>
        <v/>
      </c>
      <c r="N501" s="18">
        <f>IF(M501="","",SUM($M$2:M501))</f>
        <v/>
      </c>
      <c r="O501" s="19" t="n"/>
      <c r="P501" s="15" t="n"/>
      <c r="Q501" s="15" t="n"/>
      <c r="R501" s="15" t="n"/>
      <c r="S501">
        <f>IF(N501="","",MAX(0,MAX($N$2:N501)))</f>
        <v/>
      </c>
      <c r="T501">
        <f>IF(N501="","",S501-N501)</f>
        <v/>
      </c>
      <c r="U501">
        <f>IF(M501="","",IF(M501&lt;0,IF(U500="",1,U500+1),0))</f>
        <v/>
      </c>
    </row>
  </sheetData>
  <conditionalFormatting sqref="M2:M501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2">
    <dataValidation sqref="D2:D501" showDropDown="0" showInputMessage="0" showErrorMessage="0" allowBlank="1" type="list">
      <formula1>"Long,Short"</formula1>
    </dataValidation>
    <dataValidation sqref="P2:P501" showDropDown="0" showInputMessage="0" showErrorMessage="0" allowBlank="1" type="list">
      <formula1>"da,nu"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2026-10-12T17:57:16Z</dcterms:created>
  <dcterms:modified xmlns:dcterms="http://purl.org/dc/terms/" xmlns:xsi="http://www.w3.org/2001/XMLSchema-instance" xsi:type="dcterms:W3CDTF">2026-10-12T17:57:16Z</dcterms:modified>
</cp:coreProperties>
</file>